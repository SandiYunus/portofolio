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Sandi\Downloads\"/>
    </mc:Choice>
  </mc:AlternateContent>
  <xr:revisionPtr revIDLastSave="0" documentId="13_ncr:1_{0642C4BA-9DB2-45DF-8A2E-9B0265A41CFE}" xr6:coauthVersionLast="45" xr6:coauthVersionMax="47" xr10:uidLastSave="{00000000-0000-0000-0000-000000000000}"/>
  <bookViews>
    <workbookView xWindow="-120" yWindow="-120" windowWidth="20730" windowHeight="11160" xr2:uid="{030AFF3E-7D3F-4FBB-AAB4-3E7259CA35FE}"/>
  </bookViews>
  <sheets>
    <sheet name="Dashboard" sheetId="4" r:id="rId1"/>
    <sheet name="Sheet2" sheetId="3" r:id="rId2"/>
    <sheet name="Sheet1" sheetId="1" r:id="rId3"/>
  </sheets>
  <definedNames>
    <definedName name="_xlnm._FilterDatabase" localSheetId="2" hidden="1">Sheet1!$A$1:$X$123</definedName>
    <definedName name="Slicer_Cabang">#N/A</definedName>
    <definedName name="Slicer_Divisi">#N/A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6" i="4" l="1"/>
  <c r="N21" i="4"/>
  <c r="J22" i="4"/>
  <c r="L22" i="4"/>
  <c r="N22" i="4"/>
  <c r="J23" i="4"/>
  <c r="L23" i="4"/>
  <c r="N23" i="4"/>
  <c r="J24" i="4"/>
  <c r="L24" i="4"/>
  <c r="N24" i="4"/>
  <c r="J25" i="4"/>
  <c r="L25" i="4"/>
  <c r="N25" i="4"/>
  <c r="J26" i="4"/>
  <c r="L26" i="4"/>
  <c r="N26" i="4"/>
  <c r="J27" i="4"/>
  <c r="L27" i="4"/>
  <c r="N27" i="4"/>
  <c r="J28" i="4"/>
  <c r="L28" i="4"/>
  <c r="N28" i="4"/>
  <c r="J29" i="4"/>
  <c r="L29" i="4"/>
  <c r="N29" i="4"/>
  <c r="J30" i="4"/>
  <c r="L30" i="4"/>
  <c r="N30" i="4"/>
  <c r="J31" i="4"/>
  <c r="L31" i="4"/>
  <c r="N31" i="4"/>
  <c r="J32" i="4"/>
  <c r="L32" i="4"/>
  <c r="N32" i="4"/>
  <c r="J33" i="4"/>
  <c r="L33" i="4"/>
  <c r="N33" i="4"/>
  <c r="L21" i="4"/>
  <c r="J21" i="4"/>
  <c r="I21" i="4" s="1"/>
  <c r="I22" i="4" l="1"/>
  <c r="I23" i="4" s="1"/>
  <c r="I24" i="4" s="1"/>
  <c r="I25" i="4" s="1"/>
  <c r="I26" i="4" s="1"/>
  <c r="I27" i="4" s="1"/>
  <c r="I28" i="4" s="1"/>
  <c r="I29" i="4" s="1"/>
  <c r="I30" i="4" s="1"/>
  <c r="I31" i="4" s="1"/>
  <c r="I32" i="4" s="1"/>
  <c r="I33" i="4" s="1"/>
  <c r="Z3" i="1"/>
  <c r="Z4" i="1"/>
  <c r="Z7" i="1"/>
  <c r="Z8" i="1"/>
  <c r="Z11" i="1"/>
  <c r="Z12" i="1"/>
  <c r="Z15" i="1"/>
  <c r="Z16" i="1"/>
  <c r="Z19" i="1"/>
  <c r="Z20" i="1"/>
  <c r="Z23" i="1"/>
  <c r="Z24" i="1"/>
  <c r="Z27" i="1"/>
  <c r="Z28" i="1"/>
  <c r="Z31" i="1"/>
  <c r="Z32" i="1"/>
  <c r="Z35" i="1"/>
  <c r="Z36" i="1"/>
  <c r="Z39" i="1"/>
  <c r="Z40" i="1"/>
  <c r="Z43" i="1"/>
  <c r="Z44" i="1"/>
  <c r="Z47" i="1"/>
  <c r="Z48" i="1"/>
  <c r="Z51" i="1"/>
  <c r="Z52" i="1"/>
  <c r="Z55" i="1"/>
  <c r="Z56" i="1"/>
  <c r="Z59" i="1"/>
  <c r="Z60" i="1"/>
  <c r="Z63" i="1"/>
  <c r="Z64" i="1"/>
  <c r="Z67" i="1"/>
  <c r="Z68" i="1"/>
  <c r="Z71" i="1"/>
  <c r="Z72" i="1"/>
  <c r="Z75" i="1"/>
  <c r="Z76" i="1"/>
  <c r="Z79" i="1"/>
  <c r="Z80" i="1"/>
  <c r="Z83" i="1"/>
  <c r="Z84" i="1"/>
  <c r="Z87" i="1"/>
  <c r="Z88" i="1"/>
  <c r="Z91" i="1"/>
  <c r="Z92" i="1"/>
  <c r="Z95" i="1"/>
  <c r="Z96" i="1"/>
  <c r="Z99" i="1"/>
  <c r="Z100" i="1"/>
  <c r="Z103" i="1"/>
  <c r="Z104" i="1"/>
  <c r="Z107" i="1"/>
  <c r="Z108" i="1"/>
  <c r="Z111" i="1"/>
  <c r="Z112" i="1"/>
  <c r="Z115" i="1"/>
  <c r="Z116" i="1"/>
  <c r="Z119" i="1"/>
  <c r="Z120" i="1"/>
  <c r="Z123" i="1"/>
  <c r="Y2" i="1"/>
  <c r="Z2" i="1" s="1"/>
  <c r="Y3" i="1"/>
  <c r="Y4" i="1"/>
  <c r="Y5" i="1"/>
  <c r="Z5" i="1" s="1"/>
  <c r="Y6" i="1"/>
  <c r="Z6" i="1" s="1"/>
  <c r="Y7" i="1"/>
  <c r="Y8" i="1"/>
  <c r="Y9" i="1"/>
  <c r="Z9" i="1" s="1"/>
  <c r="Y10" i="1"/>
  <c r="Z10" i="1" s="1"/>
  <c r="Y11" i="1"/>
  <c r="Y12" i="1"/>
  <c r="Y13" i="1"/>
  <c r="Z13" i="1" s="1"/>
  <c r="Y14" i="1"/>
  <c r="Z14" i="1" s="1"/>
  <c r="Y15" i="1"/>
  <c r="Y16" i="1"/>
  <c r="Y17" i="1"/>
  <c r="Z17" i="1" s="1"/>
  <c r="Y18" i="1"/>
  <c r="Z18" i="1" s="1"/>
  <c r="Y19" i="1"/>
  <c r="Y20" i="1"/>
  <c r="Y21" i="1"/>
  <c r="Z21" i="1" s="1"/>
  <c r="Y22" i="1"/>
  <c r="Z22" i="1" s="1"/>
  <c r="Y23" i="1"/>
  <c r="Y24" i="1"/>
  <c r="Y25" i="1"/>
  <c r="Z25" i="1" s="1"/>
  <c r="Y26" i="1"/>
  <c r="Z26" i="1" s="1"/>
  <c r="Y27" i="1"/>
  <c r="Y28" i="1"/>
  <c r="Y29" i="1"/>
  <c r="Z29" i="1" s="1"/>
  <c r="Y30" i="1"/>
  <c r="Z30" i="1" s="1"/>
  <c r="Y31" i="1"/>
  <c r="Y32" i="1"/>
  <c r="Y33" i="1"/>
  <c r="Z33" i="1" s="1"/>
  <c r="Y34" i="1"/>
  <c r="Z34" i="1" s="1"/>
  <c r="Y35" i="1"/>
  <c r="Y36" i="1"/>
  <c r="Y37" i="1"/>
  <c r="Z37" i="1" s="1"/>
  <c r="Y38" i="1"/>
  <c r="Z38" i="1" s="1"/>
  <c r="Y39" i="1"/>
  <c r="Y40" i="1"/>
  <c r="Y41" i="1"/>
  <c r="Z41" i="1" s="1"/>
  <c r="Y42" i="1"/>
  <c r="Z42" i="1" s="1"/>
  <c r="Y43" i="1"/>
  <c r="Y44" i="1"/>
  <c r="Y45" i="1"/>
  <c r="Z45" i="1" s="1"/>
  <c r="Y46" i="1"/>
  <c r="Z46" i="1" s="1"/>
  <c r="Y47" i="1"/>
  <c r="Y48" i="1"/>
  <c r="Y49" i="1"/>
  <c r="Z49" i="1" s="1"/>
  <c r="Y50" i="1"/>
  <c r="Z50" i="1" s="1"/>
  <c r="Y51" i="1"/>
  <c r="Y52" i="1"/>
  <c r="Y53" i="1"/>
  <c r="Z53" i="1" s="1"/>
  <c r="Y54" i="1"/>
  <c r="Z54" i="1" s="1"/>
  <c r="Y55" i="1"/>
  <c r="Y56" i="1"/>
  <c r="Y57" i="1"/>
  <c r="Z57" i="1" s="1"/>
  <c r="Y58" i="1"/>
  <c r="Z58" i="1" s="1"/>
  <c r="Y59" i="1"/>
  <c r="Y60" i="1"/>
  <c r="Y61" i="1"/>
  <c r="Z61" i="1" s="1"/>
  <c r="Y62" i="1"/>
  <c r="Z62" i="1" s="1"/>
  <c r="Y63" i="1"/>
  <c r="Y64" i="1"/>
  <c r="Y65" i="1"/>
  <c r="Z65" i="1" s="1"/>
  <c r="Y66" i="1"/>
  <c r="Z66" i="1" s="1"/>
  <c r="Y67" i="1"/>
  <c r="Y68" i="1"/>
  <c r="Y69" i="1"/>
  <c r="Z69" i="1" s="1"/>
  <c r="Y70" i="1"/>
  <c r="Z70" i="1" s="1"/>
  <c r="Y71" i="1"/>
  <c r="Y72" i="1"/>
  <c r="Y73" i="1"/>
  <c r="Z73" i="1" s="1"/>
  <c r="Y74" i="1"/>
  <c r="Z74" i="1" s="1"/>
  <c r="Y75" i="1"/>
  <c r="Y76" i="1"/>
  <c r="Y77" i="1"/>
  <c r="Z77" i="1" s="1"/>
  <c r="Y78" i="1"/>
  <c r="Z78" i="1" s="1"/>
  <c r="Y79" i="1"/>
  <c r="Y80" i="1"/>
  <c r="Y81" i="1"/>
  <c r="Z81" i="1" s="1"/>
  <c r="Y82" i="1"/>
  <c r="Z82" i="1" s="1"/>
  <c r="Y83" i="1"/>
  <c r="Y84" i="1"/>
  <c r="Y85" i="1"/>
  <c r="Z85" i="1" s="1"/>
  <c r="Y86" i="1"/>
  <c r="Z86" i="1" s="1"/>
  <c r="Y87" i="1"/>
  <c r="Y88" i="1"/>
  <c r="Y89" i="1"/>
  <c r="Z89" i="1" s="1"/>
  <c r="Y90" i="1"/>
  <c r="Z90" i="1" s="1"/>
  <c r="Y91" i="1"/>
  <c r="Y92" i="1"/>
  <c r="Y93" i="1"/>
  <c r="Z93" i="1" s="1"/>
  <c r="Y94" i="1"/>
  <c r="Z94" i="1" s="1"/>
  <c r="Y95" i="1"/>
  <c r="Y96" i="1"/>
  <c r="Y97" i="1"/>
  <c r="Z97" i="1" s="1"/>
  <c r="Y98" i="1"/>
  <c r="Z98" i="1" s="1"/>
  <c r="Y99" i="1"/>
  <c r="Y100" i="1"/>
  <c r="Y101" i="1"/>
  <c r="Z101" i="1" s="1"/>
  <c r="Y102" i="1"/>
  <c r="Z102" i="1" s="1"/>
  <c r="Y103" i="1"/>
  <c r="Y104" i="1"/>
  <c r="Y105" i="1"/>
  <c r="Z105" i="1" s="1"/>
  <c r="Y106" i="1"/>
  <c r="Z106" i="1" s="1"/>
  <c r="Y107" i="1"/>
  <c r="Y108" i="1"/>
  <c r="Y109" i="1"/>
  <c r="Z109" i="1" s="1"/>
  <c r="Y110" i="1"/>
  <c r="Z110" i="1" s="1"/>
  <c r="Y111" i="1"/>
  <c r="Y112" i="1"/>
  <c r="Y113" i="1"/>
  <c r="Z113" i="1" s="1"/>
  <c r="Y114" i="1"/>
  <c r="Z114" i="1" s="1"/>
  <c r="Y115" i="1"/>
  <c r="Y116" i="1"/>
  <c r="Y117" i="1"/>
  <c r="Z117" i="1" s="1"/>
  <c r="Y118" i="1"/>
  <c r="Z118" i="1" s="1"/>
  <c r="Y119" i="1"/>
  <c r="Y120" i="1"/>
  <c r="Y121" i="1"/>
  <c r="Z121" i="1" s="1"/>
  <c r="Y122" i="1"/>
  <c r="Z122" i="1" s="1"/>
  <c r="Y123"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alcChain>
</file>

<file path=xl/sharedStrings.xml><?xml version="1.0" encoding="utf-8"?>
<sst xmlns="http://schemas.openxmlformats.org/spreadsheetml/2006/main" count="938" uniqueCount="183">
  <si>
    <t>NIP</t>
  </si>
  <si>
    <t>Nama Pegawai</t>
  </si>
  <si>
    <t>Divisi</t>
  </si>
  <si>
    <t>Level</t>
  </si>
  <si>
    <t>Cabang</t>
  </si>
  <si>
    <t>Status</t>
  </si>
  <si>
    <t>Jenis Kelamin</t>
  </si>
  <si>
    <t>Tanggal Lahir</t>
  </si>
  <si>
    <t>Mulai Kerja</t>
  </si>
  <si>
    <t>Pendidikan</t>
  </si>
  <si>
    <t>Jan</t>
  </si>
  <si>
    <t>Feb</t>
  </si>
  <si>
    <t>Mar</t>
  </si>
  <si>
    <t>Apr</t>
  </si>
  <si>
    <t>May</t>
  </si>
  <si>
    <t>Jun</t>
  </si>
  <si>
    <t>Jul</t>
  </si>
  <si>
    <t>Aug</t>
  </si>
  <si>
    <t>Sep</t>
  </si>
  <si>
    <t>Oct</t>
  </si>
  <si>
    <t>Nov</t>
  </si>
  <si>
    <t>Dec</t>
  </si>
  <si>
    <t>Agnes Dirgantini Hakim</t>
  </si>
  <si>
    <t>Bisnis</t>
  </si>
  <si>
    <t>Staff</t>
  </si>
  <si>
    <t>Permanent</t>
  </si>
  <si>
    <t>Perempuan</t>
  </si>
  <si>
    <t>Diploma</t>
  </si>
  <si>
    <t>Moch Adnand Heriansyah</t>
  </si>
  <si>
    <t>Laki-laki</t>
  </si>
  <si>
    <t>D3</t>
  </si>
  <si>
    <t>Anjani Meilawati Dewi</t>
  </si>
  <si>
    <t>Support</t>
  </si>
  <si>
    <t>S1</t>
  </si>
  <si>
    <t>Muhammad Itsal Septian Rahman</t>
  </si>
  <si>
    <t>Contract</t>
  </si>
  <si>
    <t>Muhammad Doddy Djakaria</t>
  </si>
  <si>
    <t>Novianti Warnerin</t>
  </si>
  <si>
    <t>Officer</t>
  </si>
  <si>
    <t>Suci Ananda</t>
  </si>
  <si>
    <t>Nur Devi Yusiawati Gumelar</t>
  </si>
  <si>
    <t>Asset</t>
  </si>
  <si>
    <t>Revina Sadiyyah Fatimah</t>
  </si>
  <si>
    <t>Ckasinta Winda S</t>
  </si>
  <si>
    <t>Nurfa Resti Aulia</t>
  </si>
  <si>
    <t>Pinaandriyani</t>
  </si>
  <si>
    <t>Anggi Ratnasari</t>
  </si>
  <si>
    <t>Putri Medina Agrezta</t>
  </si>
  <si>
    <t>Managerial</t>
  </si>
  <si>
    <t>Manager</t>
  </si>
  <si>
    <t>SMA</t>
  </si>
  <si>
    <t>Rachmawati Sabilarizki</t>
  </si>
  <si>
    <t>Muhammad Neval Maldini</t>
  </si>
  <si>
    <t>Yolanda Novitri Setiawan</t>
  </si>
  <si>
    <t>Sri Dewi Cahyadi</t>
  </si>
  <si>
    <t>Bagus Rio Prasojo</t>
  </si>
  <si>
    <t>Dita Julianti</t>
  </si>
  <si>
    <t>Ahmad Hasan N</t>
  </si>
  <si>
    <t>Iman</t>
  </si>
  <si>
    <t>Jayanti Widiastuti</t>
  </si>
  <si>
    <t>Salma Nur Aisy</t>
  </si>
  <si>
    <t>Nitasukmala</t>
  </si>
  <si>
    <t>Zella Zakiyah</t>
  </si>
  <si>
    <t>Robbi Sujana</t>
  </si>
  <si>
    <t>Hazana Delfani</t>
  </si>
  <si>
    <t>Siti Nurjanah</t>
  </si>
  <si>
    <t>Arief Sudianto</t>
  </si>
  <si>
    <t>Citra Mega Lestari</t>
  </si>
  <si>
    <t>Gina Sonia</t>
  </si>
  <si>
    <t>Annisa Ayu Siwi</t>
  </si>
  <si>
    <t>Lucky Wiratama Suganda</t>
  </si>
  <si>
    <t>Support Staff</t>
  </si>
  <si>
    <t>Outsource</t>
  </si>
  <si>
    <t>Armelia Nur Asyiffa</t>
  </si>
  <si>
    <t>Muhamad Rifly Robiana</t>
  </si>
  <si>
    <t>Nadya Saphira Esfandiari</t>
  </si>
  <si>
    <t>Putri Marytha Setiadi</t>
  </si>
  <si>
    <t>Agus Setiana</t>
  </si>
  <si>
    <t>Dinda Agung Apriyana</t>
  </si>
  <si>
    <t>Hanna Tasya</t>
  </si>
  <si>
    <t>Citra Pradita Effendi</t>
  </si>
  <si>
    <t>Lestari Pratiwi</t>
  </si>
  <si>
    <t>Dicky Sudrajat</t>
  </si>
  <si>
    <t>Diny Maryani Hermawan</t>
  </si>
  <si>
    <t>Puji Ridwansyah</t>
  </si>
  <si>
    <t>Ferdinand Is Suhendra</t>
  </si>
  <si>
    <t>Rizky Irhas Firdaus</t>
  </si>
  <si>
    <t>Rizal Ermanto</t>
  </si>
  <si>
    <t>Rendi Agus Tirtana</t>
  </si>
  <si>
    <t>Kania Anisa Lestari</t>
  </si>
  <si>
    <t>Kirana Citra Destiyanti</t>
  </si>
  <si>
    <t>Irfan Adi Pamuji</t>
  </si>
  <si>
    <t>Dwi Laksana Bhakti</t>
  </si>
  <si>
    <t>Dwi Putri Januari</t>
  </si>
  <si>
    <t>Ridwan Raynaldi Putra</t>
  </si>
  <si>
    <t>Muhammad Rizki Alhafizh</t>
  </si>
  <si>
    <t>Delsa Satya Pratama</t>
  </si>
  <si>
    <t>Dinda Sapta Carolina</t>
  </si>
  <si>
    <t>Windi Ayu</t>
  </si>
  <si>
    <t>Ristya Ariyani</t>
  </si>
  <si>
    <t>Denis Muhammad Irfan</t>
  </si>
  <si>
    <t>Mariam Marianti</t>
  </si>
  <si>
    <t>Muni Ledia Astuti</t>
  </si>
  <si>
    <t>Ari Ramdani</t>
  </si>
  <si>
    <t>SMK</t>
  </si>
  <si>
    <t>Suherdi</t>
  </si>
  <si>
    <t>Bella Putri Nastiti</t>
  </si>
  <si>
    <t>Indri Zaqiah</t>
  </si>
  <si>
    <t>Rizky Syaeful Anwar</t>
  </si>
  <si>
    <t>Juanita Nurfadhillah Hafyani</t>
  </si>
  <si>
    <t>Yolanda Ayu Syafira</t>
  </si>
  <si>
    <t>Regina Eldinia Rahayu</t>
  </si>
  <si>
    <t>Siti Nurmala Asy'Syifa</t>
  </si>
  <si>
    <t>Selisa Fatimah</t>
  </si>
  <si>
    <t>Raka Gustiana</t>
  </si>
  <si>
    <t>Senior Manager</t>
  </si>
  <si>
    <t>S2</t>
  </si>
  <si>
    <t>Dani Irawan</t>
  </si>
  <si>
    <t>Saepuloh</t>
  </si>
  <si>
    <t>Peter Sulaeman</t>
  </si>
  <si>
    <t>Sinta Komara</t>
  </si>
  <si>
    <t>Lulu Adilah Fasya</t>
  </si>
  <si>
    <t>Lusianasaraswati Dewi</t>
  </si>
  <si>
    <t>Evi Hafizah Rahma</t>
  </si>
  <si>
    <t>Adnan Saefulloh</t>
  </si>
  <si>
    <t>Ajeng Gerhana Wulan</t>
  </si>
  <si>
    <t>Ana Muslimah</t>
  </si>
  <si>
    <t>Avrialy Kosvi</t>
  </si>
  <si>
    <t>Annisa Maretiamy</t>
  </si>
  <si>
    <t>Winda Ayulia Agustina</t>
  </si>
  <si>
    <t>Anisa Ayu Parwati</t>
  </si>
  <si>
    <t>Suci Wulan Sari</t>
  </si>
  <si>
    <t>Ninne Nuraida</t>
  </si>
  <si>
    <t>Andrian Kusnadi</t>
  </si>
  <si>
    <t>Neneng Royani</t>
  </si>
  <si>
    <t>Widi Dwi Adhawati</t>
  </si>
  <si>
    <t>Annisa Dessetiani Lee</t>
  </si>
  <si>
    <t>Daniel Oktario</t>
  </si>
  <si>
    <t>Agung saputra</t>
  </si>
  <si>
    <t>Lassandra Kattyana Santos</t>
  </si>
  <si>
    <t>Furqon Saefulloh</t>
  </si>
  <si>
    <t>Riska Gita Suhana</t>
  </si>
  <si>
    <t>Hanasira Afifa</t>
  </si>
  <si>
    <t>Deri Fauzi</t>
  </si>
  <si>
    <t>Yulia Nur Safitri</t>
  </si>
  <si>
    <t>Sonia Oktaviana</t>
  </si>
  <si>
    <t>Erwin Bani Adam</t>
  </si>
  <si>
    <t>Ira Mariana</t>
  </si>
  <si>
    <t>Susanti</t>
  </si>
  <si>
    <t>Dwi Wira Surachandra</t>
  </si>
  <si>
    <t>Adi Darmawan</t>
  </si>
  <si>
    <t>Khansa R</t>
  </si>
  <si>
    <t>Hilda Nathaniela</t>
  </si>
  <si>
    <t>Alamda Verdiyana</t>
  </si>
  <si>
    <t>Arif.Santoso</t>
  </si>
  <si>
    <t>Dhea Novia Parhana</t>
  </si>
  <si>
    <t>Esya Swasti Sukmatia</t>
  </si>
  <si>
    <t>Meisa Damayanti</t>
  </si>
  <si>
    <t>Bayu Nugraha Libriansyah</t>
  </si>
  <si>
    <t>Israqi Atsiruddin Sidqi Ramdhani</t>
  </si>
  <si>
    <t>Renaya Sarasti</t>
  </si>
  <si>
    <t>Aulia Rahmawaty</t>
  </si>
  <si>
    <t>Ichsan Nurmansyah</t>
  </si>
  <si>
    <t>Muhammad Aldi Ramdhani</t>
  </si>
  <si>
    <t>Jakarta</t>
  </si>
  <si>
    <t>Bandung</t>
  </si>
  <si>
    <t>Usia</t>
  </si>
  <si>
    <t>Generasi Kerja</t>
  </si>
  <si>
    <t>Average</t>
  </si>
  <si>
    <t>Kinerja</t>
  </si>
  <si>
    <t>Jumlah Karyawan</t>
  </si>
  <si>
    <t>Row Labels</t>
  </si>
  <si>
    <t>Grand Total</t>
  </si>
  <si>
    <t>Baby Boomer</t>
  </si>
  <si>
    <t>Gen X</t>
  </si>
  <si>
    <t>Gen Y</t>
  </si>
  <si>
    <t>Gen Z</t>
  </si>
  <si>
    <t>Low</t>
  </si>
  <si>
    <t>Med</t>
  </si>
  <si>
    <t>Sum of Average</t>
  </si>
  <si>
    <t>No</t>
  </si>
  <si>
    <t>Skor KPI</t>
  </si>
  <si>
    <t>Date Cut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</si>
</sst>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3809]dd/mm/yyyy;@"/>
  </numFmts>
  <fonts count="3" x14ac:knownFonts="1">
    <font>
      <sz val="11"/>
      <color theme="1"/>
      <name val="Calibri"/>
      <family val="2"/>
      <scheme val="minor"/>
    </font>
    <font>
      <sz val="11"/>
      <color theme="1"/>
      <name val="Times New Roman"/>
      <family val="1"/>
    </font>
    <font>
      <b/>
      <u/>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1"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left" indent="4"/>
    </xf>
    <xf numFmtId="0" fontId="2" fillId="0" borderId="0" xfId="0" applyFont="1"/>
    <xf numFmtId="0" fontId="2" fillId="0" borderId="0" xfId="0" applyFont="1" applyAlignment="1">
      <alignment horizontal="right"/>
    </xf>
    <xf numFmtId="0" fontId="1" fillId="0" borderId="0" xfId="0" applyFont="1" applyAlignment="1">
      <alignment horizontal="center" vertical="center"/>
    </xf>
    <xf numFmtId="0" fontId="1" fillId="0" borderId="0" xfId="0" applyFont="1" applyAlignment="1">
      <alignment horizontal="left" indent="4"/>
    </xf>
    <xf numFmtId="2" fontId="1" fillId="0" borderId="0" xfId="0" applyNumberFormat="1" applyFont="1" applyAlignment="1">
      <alignment horizontal="right"/>
    </xf>
    <xf numFmtId="14" fontId="0" fillId="0" borderId="0" xfId="0" applyNumberFormat="1"/>
  </cellXfs>
  <cellStyles count="1">
    <cellStyle name="Normal" xfId="0" builtinId="0"/>
  </cellStyles>
  <dxfs count="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164" formatCode="[$-13809]dd/mm/yyyy;@"/>
    </dxf>
    <dxf>
      <numFmt numFmtId="1" formatCode="0"/>
    </dxf>
    <dxf>
      <numFmt numFmtId="164" formatCode="[$-13809]dd/mm/yyyy;@"/>
    </dxf>
    <dxf>
      <numFmt numFmtId="164" formatCode="[$-13809]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KPI Perusahaan.xlsx]Sheet2!PivotTable8</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hade val="65000"/>
            </a:schemeClr>
          </a:solidFill>
          <a:ln w="19050">
            <a:solidFill>
              <a:schemeClr val="lt1"/>
            </a:solidFill>
          </a:ln>
          <a:effectLst/>
        </c:spPr>
      </c:pivotFmt>
    </c:pivotFmts>
    <c:plotArea>
      <c:layout/>
      <c:doughnutChart>
        <c:varyColors val="1"/>
        <c:ser>
          <c:idx val="0"/>
          <c:order val="0"/>
          <c:tx>
            <c:strRef>
              <c:f>Sheet2!$C$11</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6EC6-4D0D-9BF4-B7C44969BF0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EC6-4D0D-9BF4-B7C44969BF06}"/>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6EC6-4D0D-9BF4-B7C44969BF0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Sheet2!$B$12:$B$15</c:f>
              <c:strCache>
                <c:ptCount val="3"/>
                <c:pt idx="0">
                  <c:v>Contract</c:v>
                </c:pt>
                <c:pt idx="1">
                  <c:v>Outsource</c:v>
                </c:pt>
                <c:pt idx="2">
                  <c:v>Permanent</c:v>
                </c:pt>
              </c:strCache>
            </c:strRef>
          </c:cat>
          <c:val>
            <c:numRef>
              <c:f>Sheet2!$C$12:$C$15</c:f>
              <c:numCache>
                <c:formatCode>General</c:formatCode>
                <c:ptCount val="3"/>
                <c:pt idx="0">
                  <c:v>28</c:v>
                </c:pt>
                <c:pt idx="1">
                  <c:v>2</c:v>
                </c:pt>
                <c:pt idx="2">
                  <c:v>92</c:v>
                </c:pt>
              </c:numCache>
            </c:numRef>
          </c:val>
          <c:extLst>
            <c:ext xmlns:c16="http://schemas.microsoft.com/office/drawing/2014/chart" uri="{C3380CC4-5D6E-409C-BE32-E72D297353CC}">
              <c16:uniqueId val="{00000006-6EC6-4D0D-9BF4-B7C44969BF0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[Data KPI Perusahaan.xlsx]Sheet2!PivotTable10</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pivotFmt>
      <c:pivotFmt>
        <c:idx val="10"/>
        <c:spPr>
          <a:solidFill>
            <a:schemeClr val="accent1">
              <a:shade val="76000"/>
            </a:schemeClr>
          </a:solidFill>
          <a:ln w="19050">
            <a:solidFill>
              <a:schemeClr val="lt1"/>
            </a:solidFill>
          </a:ln>
          <a:effectLst/>
        </c:spPr>
      </c:pivotFmt>
    </c:pivotFmts>
    <c:plotArea>
      <c:layout/>
      <c:doughnutChart>
        <c:varyColors val="1"/>
        <c:ser>
          <c:idx val="0"/>
          <c:order val="0"/>
          <c:tx>
            <c:strRef>
              <c:f>Sheet2!$G$11</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0561-46BA-9B1D-94B111105D3B}"/>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0561-46BA-9B1D-94B111105D3B}"/>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0561-46BA-9B1D-94B111105D3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Sheet2!$F$12:$F$14</c:f>
              <c:strCache>
                <c:ptCount val="2"/>
                <c:pt idx="0">
                  <c:v>Laki-laki</c:v>
                </c:pt>
                <c:pt idx="1">
                  <c:v>Perempuan</c:v>
                </c:pt>
              </c:strCache>
            </c:strRef>
          </c:cat>
          <c:val>
            <c:numRef>
              <c:f>Sheet2!$G$12:$G$14</c:f>
              <c:numCache>
                <c:formatCode>General</c:formatCode>
                <c:ptCount val="2"/>
                <c:pt idx="0">
                  <c:v>48</c:v>
                </c:pt>
                <c:pt idx="1">
                  <c:v>74</c:v>
                </c:pt>
              </c:numCache>
            </c:numRef>
          </c:val>
          <c:extLst>
            <c:ext xmlns:c16="http://schemas.microsoft.com/office/drawing/2014/chart" uri="{C3380CC4-5D6E-409C-BE32-E72D297353CC}">
              <c16:uniqueId val="{00000006-0561-46BA-9B1D-94B111105D3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KPI Perusahaan.xlsx]Sheet2!PivotTable11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Sheet2!$J$12:$J$16</c:f>
              <c:strCache>
                <c:ptCount val="4"/>
                <c:pt idx="0">
                  <c:v>Baby Boomer</c:v>
                </c:pt>
                <c:pt idx="1">
                  <c:v>Gen X</c:v>
                </c:pt>
                <c:pt idx="2">
                  <c:v>Gen Y</c:v>
                </c:pt>
                <c:pt idx="3">
                  <c:v>Gen Z</c:v>
                </c:pt>
              </c:strCache>
            </c:strRef>
          </c:cat>
          <c:val>
            <c:numRef>
              <c:f>Sheet2!$K$12:$K$16</c:f>
              <c:numCache>
                <c:formatCode>General</c:formatCode>
                <c:ptCount val="4"/>
                <c:pt idx="0">
                  <c:v>1</c:v>
                </c:pt>
                <c:pt idx="1">
                  <c:v>36</c:v>
                </c:pt>
                <c:pt idx="2">
                  <c:v>83</c:v>
                </c:pt>
                <c:pt idx="3">
                  <c:v>2</c:v>
                </c:pt>
              </c:numCache>
            </c:numRef>
          </c:val>
          <c:extLst>
            <c:ext xmlns:c16="http://schemas.microsoft.com/office/drawing/2014/chart" uri="{C3380CC4-5D6E-409C-BE32-E72D297353CC}">
              <c16:uniqueId val="{00000000-7A14-49DF-B083-5697E846D3B3}"/>
            </c:ext>
          </c:extLst>
        </c:ser>
        <c:dLbls>
          <c:showLegendKey val="0"/>
          <c:showVal val="1"/>
          <c:showCatName val="0"/>
          <c:showSerName val="0"/>
          <c:showPercent val="0"/>
          <c:showBubbleSize val="0"/>
        </c:dLbls>
        <c:gapWidth val="150"/>
        <c:overlap val="-25"/>
        <c:axId val="1462976736"/>
        <c:axId val="1374175312"/>
      </c:barChart>
      <c:catAx>
        <c:axId val="14629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75312"/>
        <c:crosses val="autoZero"/>
        <c:auto val="1"/>
        <c:lblAlgn val="ctr"/>
        <c:lblOffset val="100"/>
        <c:noMultiLvlLbl val="0"/>
      </c:catAx>
      <c:valAx>
        <c:axId val="1374175312"/>
        <c:scaling>
          <c:orientation val="minMax"/>
        </c:scaling>
        <c:delete val="1"/>
        <c:axPos val="l"/>
        <c:numFmt formatCode="General" sourceLinked="1"/>
        <c:majorTickMark val="none"/>
        <c:minorTickMark val="none"/>
        <c:tickLblPos val="nextTo"/>
        <c:crossAx val="14629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[Data KPI Perusahaan.xlsx]Sheet2!PivotTable12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hade val="65000"/>
            </a:schemeClr>
          </a:solidFill>
          <a:ln w="19050">
            <a:solidFill>
              <a:schemeClr val="lt1"/>
            </a:solidFill>
          </a:ln>
          <a:effectLst/>
        </c:spPr>
      </c:pivotFmt>
    </c:pivotFmts>
    <c:plotArea>
      <c:layout/>
      <c:doughnutChart>
        <c:varyColors val="1"/>
        <c:ser>
          <c:idx val="0"/>
          <c:order val="0"/>
          <c:tx>
            <c:strRef>
              <c:f>Sheet2!$O$11</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81D1-4DC8-9CFF-BE6F91A1BCFA}"/>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81D1-4DC8-9CFF-BE6F91A1BCFA}"/>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81D1-4DC8-9CFF-BE6F91A1BCF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Sheet2!$N$12:$N$14</c:f>
              <c:strCache>
                <c:ptCount val="2"/>
                <c:pt idx="0">
                  <c:v>Low</c:v>
                </c:pt>
                <c:pt idx="1">
                  <c:v>Med</c:v>
                </c:pt>
              </c:strCache>
            </c:strRef>
          </c:cat>
          <c:val>
            <c:numRef>
              <c:f>Sheet2!$O$12:$O$14</c:f>
              <c:numCache>
                <c:formatCode>General</c:formatCode>
                <c:ptCount val="2"/>
                <c:pt idx="0">
                  <c:v>5</c:v>
                </c:pt>
                <c:pt idx="1">
                  <c:v>8</c:v>
                </c:pt>
              </c:numCache>
            </c:numRef>
          </c:val>
          <c:extLst>
            <c:ext xmlns:c16="http://schemas.microsoft.com/office/drawing/2014/chart" uri="{C3380CC4-5D6E-409C-BE32-E72D297353CC}">
              <c16:uniqueId val="{00000006-81D1-4DC8-9CFF-BE6F91A1BCF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KPI Perusahaan.xlsx]Sheet2!PivotTable8</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hade val="65000"/>
            </a:schemeClr>
          </a:solidFill>
          <a:ln w="19050">
            <a:solidFill>
              <a:schemeClr val="lt1"/>
            </a:solidFill>
          </a:ln>
          <a:effectLst/>
        </c:spPr>
      </c:pivotFmt>
    </c:pivotFmts>
    <c:plotArea>
      <c:layout/>
      <c:doughnutChart>
        <c:varyColors val="1"/>
        <c:ser>
          <c:idx val="0"/>
          <c:order val="0"/>
          <c:tx>
            <c:strRef>
              <c:f>Sheet2!$C$11</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BCC4-48AC-BA9E-B8DC92591CC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CC4-48AC-BA9E-B8DC92591CC9}"/>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BCC4-48AC-BA9E-B8DC92591CC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Sheet2!$B$12:$B$15</c:f>
              <c:strCache>
                <c:ptCount val="3"/>
                <c:pt idx="0">
                  <c:v>Contract</c:v>
                </c:pt>
                <c:pt idx="1">
                  <c:v>Outsource</c:v>
                </c:pt>
                <c:pt idx="2">
                  <c:v>Permanent</c:v>
                </c:pt>
              </c:strCache>
            </c:strRef>
          </c:cat>
          <c:val>
            <c:numRef>
              <c:f>Sheet2!$C$12:$C$15</c:f>
              <c:numCache>
                <c:formatCode>General</c:formatCode>
                <c:ptCount val="3"/>
                <c:pt idx="0">
                  <c:v>28</c:v>
                </c:pt>
                <c:pt idx="1">
                  <c:v>2</c:v>
                </c:pt>
                <c:pt idx="2">
                  <c:v>92</c:v>
                </c:pt>
              </c:numCache>
            </c:numRef>
          </c:val>
          <c:extLst>
            <c:ext xmlns:c16="http://schemas.microsoft.com/office/drawing/2014/chart" uri="{C3380CC4-5D6E-409C-BE32-E72D297353CC}">
              <c16:uniqueId val="{00000006-BCC4-48AC-BA9E-B8DC92591CC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[Data KPI Perusahaan.xlsx]Sheet2!PivotTable10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pivotFmt>
      <c:pivotFmt>
        <c:idx val="10"/>
        <c:spPr>
          <a:solidFill>
            <a:schemeClr val="accent1">
              <a:shade val="76000"/>
            </a:schemeClr>
          </a:solidFill>
          <a:ln w="19050">
            <a:solidFill>
              <a:schemeClr val="lt1"/>
            </a:solidFill>
          </a:ln>
          <a:effectLst/>
        </c:spPr>
      </c:pivotFmt>
    </c:pivotFmts>
    <c:plotArea>
      <c:layout/>
      <c:doughnutChart>
        <c:varyColors val="1"/>
        <c:ser>
          <c:idx val="0"/>
          <c:order val="0"/>
          <c:tx>
            <c:strRef>
              <c:f>Sheet2!$G$11</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5DF0-4360-8800-7B8616BFF718}"/>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DF0-4360-8800-7B8616BFF718}"/>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5DF0-4360-8800-7B8616BFF71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Sheet2!$F$12:$F$14</c:f>
              <c:strCache>
                <c:ptCount val="2"/>
                <c:pt idx="0">
                  <c:v>Laki-laki</c:v>
                </c:pt>
                <c:pt idx="1">
                  <c:v>Perempuan</c:v>
                </c:pt>
              </c:strCache>
            </c:strRef>
          </c:cat>
          <c:val>
            <c:numRef>
              <c:f>Sheet2!$G$12:$G$14</c:f>
              <c:numCache>
                <c:formatCode>General</c:formatCode>
                <c:ptCount val="2"/>
                <c:pt idx="0">
                  <c:v>48</c:v>
                </c:pt>
                <c:pt idx="1">
                  <c:v>74</c:v>
                </c:pt>
              </c:numCache>
            </c:numRef>
          </c:val>
          <c:extLst>
            <c:ext xmlns:c16="http://schemas.microsoft.com/office/drawing/2014/chart" uri="{C3380CC4-5D6E-409C-BE32-E72D297353CC}">
              <c16:uniqueId val="{00000006-5DF0-4360-8800-7B8616BFF7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KPI Perusahaan.xlsx]Sheet2!PivotTable11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Sheet2!$J$12:$J$16</c:f>
              <c:strCache>
                <c:ptCount val="4"/>
                <c:pt idx="0">
                  <c:v>Baby Boomer</c:v>
                </c:pt>
                <c:pt idx="1">
                  <c:v>Gen X</c:v>
                </c:pt>
                <c:pt idx="2">
                  <c:v>Gen Y</c:v>
                </c:pt>
                <c:pt idx="3">
                  <c:v>Gen Z</c:v>
                </c:pt>
              </c:strCache>
            </c:strRef>
          </c:cat>
          <c:val>
            <c:numRef>
              <c:f>Sheet2!$K$12:$K$16</c:f>
              <c:numCache>
                <c:formatCode>General</c:formatCode>
                <c:ptCount val="4"/>
                <c:pt idx="0">
                  <c:v>1</c:v>
                </c:pt>
                <c:pt idx="1">
                  <c:v>36</c:v>
                </c:pt>
                <c:pt idx="2">
                  <c:v>83</c:v>
                </c:pt>
                <c:pt idx="3">
                  <c:v>2</c:v>
                </c:pt>
              </c:numCache>
            </c:numRef>
          </c:val>
          <c:extLst>
            <c:ext xmlns:c16="http://schemas.microsoft.com/office/drawing/2014/chart" uri="{C3380CC4-5D6E-409C-BE32-E72D297353CC}">
              <c16:uniqueId val="{00000000-BBE2-4746-BAF6-43D64BC2605A}"/>
            </c:ext>
          </c:extLst>
        </c:ser>
        <c:dLbls>
          <c:showLegendKey val="0"/>
          <c:showVal val="1"/>
          <c:showCatName val="0"/>
          <c:showSerName val="0"/>
          <c:showPercent val="0"/>
          <c:showBubbleSize val="0"/>
        </c:dLbls>
        <c:gapWidth val="150"/>
        <c:overlap val="-25"/>
        <c:axId val="1462976736"/>
        <c:axId val="1374175312"/>
      </c:barChart>
      <c:catAx>
        <c:axId val="146297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75312"/>
        <c:crosses val="autoZero"/>
        <c:auto val="1"/>
        <c:lblAlgn val="ctr"/>
        <c:lblOffset val="100"/>
        <c:noMultiLvlLbl val="0"/>
      </c:catAx>
      <c:valAx>
        <c:axId val="1374175312"/>
        <c:scaling>
          <c:orientation val="minMax"/>
        </c:scaling>
        <c:delete val="1"/>
        <c:axPos val="l"/>
        <c:numFmt formatCode="General" sourceLinked="1"/>
        <c:majorTickMark val="none"/>
        <c:minorTickMark val="none"/>
        <c:tickLblPos val="nextTo"/>
        <c:crossAx val="1462976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[Data KPI Perusahaan.xlsx]Sheet2!PivotTable12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hade val="65000"/>
            </a:schemeClr>
          </a:solidFill>
          <a:ln w="19050">
            <a:solidFill>
              <a:schemeClr val="lt1"/>
            </a:solidFill>
          </a:ln>
          <a:effectLst/>
        </c:spPr>
      </c:pivotFmt>
    </c:pivotFmts>
    <c:plotArea>
      <c:layout/>
      <c:doughnutChart>
        <c:varyColors val="1"/>
        <c:ser>
          <c:idx val="0"/>
          <c:order val="0"/>
          <c:tx>
            <c:strRef>
              <c:f>Sheet2!$O$11</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404A-416C-B84F-D5CD274650EF}"/>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404A-416C-B84F-D5CD274650EF}"/>
              </c:ext>
            </c:extLst>
          </c:dPt>
          <c:dPt>
            <c:idx val="2"/>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404A-416C-B84F-D5CD274650E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Sheet2!$N$12:$N$14</c:f>
              <c:strCache>
                <c:ptCount val="2"/>
                <c:pt idx="0">
                  <c:v>Low</c:v>
                </c:pt>
                <c:pt idx="1">
                  <c:v>Med</c:v>
                </c:pt>
              </c:strCache>
            </c:strRef>
          </c:cat>
          <c:val>
            <c:numRef>
              <c:f>Sheet2!$O$12:$O$14</c:f>
              <c:numCache>
                <c:formatCode>General</c:formatCode>
                <c:ptCount val="2"/>
                <c:pt idx="0">
                  <c:v>5</c:v>
                </c:pt>
                <c:pt idx="1">
                  <c:v>8</c:v>
                </c:pt>
              </c:numCache>
            </c:numRef>
          </c:val>
          <c:extLst>
            <c:ext xmlns:c16="http://schemas.microsoft.com/office/drawing/2014/chart" uri="{C3380CC4-5D6E-409C-BE32-E72D297353CC}">
              <c16:uniqueId val="{00000006-404A-416C-B84F-D5CD274650E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9525</xdr:rowOff>
    </xdr:from>
    <xdr:to>
      <xdr:col>14</xdr:col>
      <xdr:colOff>24740</xdr:colOff>
      <xdr:row>4</xdr:row>
      <xdr:rowOff>161925</xdr:rowOff>
    </xdr:to>
    <xdr:sp macro="" textlink="">
      <xdr:nvSpPr>
        <xdr:cNvPr id="2" name="Rectangle: Rounded Corners 1">
          <a:extLst>
            <a:ext uri="{FF2B5EF4-FFF2-40B4-BE49-F238E27FC236}">
              <a16:creationId xmlns:a16="http://schemas.microsoft.com/office/drawing/2014/main" id="{A5236293-58E1-4A48-8CE2-404203CC4EE5}"/>
            </a:ext>
          </a:extLst>
        </xdr:cNvPr>
        <xdr:cNvSpPr/>
      </xdr:nvSpPr>
      <xdr:spPr>
        <a:xfrm>
          <a:off x="634711" y="195077"/>
          <a:ext cx="8049120" cy="709056"/>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a:solidFill>
                <a:schemeClr val="bg1"/>
              </a:solidFill>
              <a:latin typeface="Times New Roman" panose="02020603050405020304" pitchFamily="18" charset="0"/>
              <a:cs typeface="Times New Roman" panose="02020603050405020304" pitchFamily="18" charset="0"/>
            </a:rPr>
            <a:t>Dashboard Kinerja Karyawan</a:t>
          </a:r>
        </a:p>
      </xdr:txBody>
    </xdr:sp>
    <xdr:clientData/>
  </xdr:twoCellAnchor>
  <xdr:twoCellAnchor>
    <xdr:from>
      <xdr:col>1</xdr:col>
      <xdr:colOff>32279</xdr:colOff>
      <xdr:row>9</xdr:row>
      <xdr:rowOff>165099</xdr:rowOff>
    </xdr:from>
    <xdr:to>
      <xdr:col>7</xdr:col>
      <xdr:colOff>595312</xdr:colOff>
      <xdr:row>12</xdr:row>
      <xdr:rowOff>52916</xdr:rowOff>
    </xdr:to>
    <xdr:sp macro="" textlink="">
      <xdr:nvSpPr>
        <xdr:cNvPr id="5" name="Rectangle: Rounded Corners 4">
          <a:extLst>
            <a:ext uri="{FF2B5EF4-FFF2-40B4-BE49-F238E27FC236}">
              <a16:creationId xmlns:a16="http://schemas.microsoft.com/office/drawing/2014/main" id="{B57820BB-651A-4915-AFBB-0FBC3F4D1140}"/>
            </a:ext>
          </a:extLst>
        </xdr:cNvPr>
        <xdr:cNvSpPr/>
      </xdr:nvSpPr>
      <xdr:spPr>
        <a:xfrm>
          <a:off x="640821" y="1831974"/>
          <a:ext cx="4214283" cy="443442"/>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latin typeface="Times New Roman" panose="02020603050405020304" pitchFamily="18" charset="0"/>
              <a:cs typeface="Times New Roman" panose="02020603050405020304" pitchFamily="18" charset="0"/>
            </a:rPr>
            <a:t>Persebaran Demografi </a:t>
          </a:r>
          <a:r>
            <a:rPr lang="en-ID" sz="1600">
              <a:latin typeface="Times New Roman" panose="02020603050405020304" pitchFamily="18" charset="0"/>
              <a:cs typeface="Times New Roman" panose="02020603050405020304" pitchFamily="18" charset="0"/>
            </a:rPr>
            <a:t>Karyawan</a:t>
          </a:r>
        </a:p>
      </xdr:txBody>
    </xdr:sp>
    <xdr:clientData/>
  </xdr:twoCellAnchor>
  <xdr:twoCellAnchor>
    <xdr:from>
      <xdr:col>8</xdr:col>
      <xdr:colOff>13230</xdr:colOff>
      <xdr:row>5</xdr:row>
      <xdr:rowOff>119063</xdr:rowOff>
    </xdr:from>
    <xdr:to>
      <xdr:col>10</xdr:col>
      <xdr:colOff>343958</xdr:colOff>
      <xdr:row>9</xdr:row>
      <xdr:rowOff>26460</xdr:rowOff>
    </xdr:to>
    <xdr:sp macro="" textlink="">
      <xdr:nvSpPr>
        <xdr:cNvPr id="6" name="Rectangle: Rounded Corners 5">
          <a:extLst>
            <a:ext uri="{FF2B5EF4-FFF2-40B4-BE49-F238E27FC236}">
              <a16:creationId xmlns:a16="http://schemas.microsoft.com/office/drawing/2014/main" id="{EEFBE719-CEE5-4E71-9EF5-8C27A62A2253}"/>
            </a:ext>
          </a:extLst>
        </xdr:cNvPr>
        <xdr:cNvSpPr/>
      </xdr:nvSpPr>
      <xdr:spPr>
        <a:xfrm>
          <a:off x="4881563" y="1045105"/>
          <a:ext cx="1547812" cy="64823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400">
              <a:latin typeface="Times New Roman" panose="02020603050405020304" pitchFamily="18" charset="0"/>
              <a:cs typeface="Times New Roman" panose="02020603050405020304" pitchFamily="18" charset="0"/>
            </a:rPr>
            <a:t>Jumlah Karyawan</a:t>
          </a:r>
        </a:p>
      </xdr:txBody>
    </xdr:sp>
    <xdr:clientData/>
  </xdr:twoCellAnchor>
  <xdr:twoCellAnchor>
    <xdr:from>
      <xdr:col>10</xdr:col>
      <xdr:colOff>383645</xdr:colOff>
      <xdr:row>6</xdr:row>
      <xdr:rowOff>158751</xdr:rowOff>
    </xdr:from>
    <xdr:to>
      <xdr:col>14</xdr:col>
      <xdr:colOff>49480</xdr:colOff>
      <xdr:row>9</xdr:row>
      <xdr:rowOff>21696</xdr:rowOff>
    </xdr:to>
    <xdr:sp macro="" textlink="">
      <xdr:nvSpPr>
        <xdr:cNvPr id="7" name="Rectangle: Rounded Corners 6">
          <a:extLst>
            <a:ext uri="{FF2B5EF4-FFF2-40B4-BE49-F238E27FC236}">
              <a16:creationId xmlns:a16="http://schemas.microsoft.com/office/drawing/2014/main" id="{4B1929D2-29CB-4AC8-ADC8-E5DFEEA8246B}"/>
            </a:ext>
          </a:extLst>
        </xdr:cNvPr>
        <xdr:cNvSpPr/>
      </xdr:nvSpPr>
      <xdr:spPr>
        <a:xfrm>
          <a:off x="6445009" y="1272063"/>
          <a:ext cx="2263562" cy="419601"/>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a:latin typeface="Times New Roman" panose="02020603050405020304" pitchFamily="18" charset="0"/>
              <a:cs typeface="Times New Roman" panose="02020603050405020304" pitchFamily="18" charset="0"/>
            </a:rPr>
            <a:t>Kinerja Karyawan</a:t>
          </a:r>
        </a:p>
      </xdr:txBody>
    </xdr:sp>
    <xdr:clientData/>
  </xdr:twoCellAnchor>
  <xdr:twoCellAnchor>
    <xdr:from>
      <xdr:col>1</xdr:col>
      <xdr:colOff>39689</xdr:colOff>
      <xdr:row>14</xdr:row>
      <xdr:rowOff>66145</xdr:rowOff>
    </xdr:from>
    <xdr:to>
      <xdr:col>4</xdr:col>
      <xdr:colOff>304270</xdr:colOff>
      <xdr:row>22</xdr:row>
      <xdr:rowOff>79375</xdr:rowOff>
    </xdr:to>
    <xdr:sp macro="" textlink="">
      <xdr:nvSpPr>
        <xdr:cNvPr id="8" name="Rectangle: Rounded Corners 7">
          <a:extLst>
            <a:ext uri="{FF2B5EF4-FFF2-40B4-BE49-F238E27FC236}">
              <a16:creationId xmlns:a16="http://schemas.microsoft.com/office/drawing/2014/main" id="{E6907C8B-04BB-4576-8FD6-DDD657C0ED58}"/>
            </a:ext>
          </a:extLst>
        </xdr:cNvPr>
        <xdr:cNvSpPr/>
      </xdr:nvSpPr>
      <xdr:spPr>
        <a:xfrm>
          <a:off x="648231" y="2659062"/>
          <a:ext cx="2090206" cy="1494896"/>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337609</xdr:colOff>
      <xdr:row>14</xdr:row>
      <xdr:rowOff>59795</xdr:rowOff>
    </xdr:from>
    <xdr:to>
      <xdr:col>7</xdr:col>
      <xdr:colOff>582084</xdr:colOff>
      <xdr:row>22</xdr:row>
      <xdr:rowOff>73025</xdr:rowOff>
    </xdr:to>
    <xdr:sp macro="" textlink="">
      <xdr:nvSpPr>
        <xdr:cNvPr id="9" name="Rectangle: Rounded Corners 8">
          <a:extLst>
            <a:ext uri="{FF2B5EF4-FFF2-40B4-BE49-F238E27FC236}">
              <a16:creationId xmlns:a16="http://schemas.microsoft.com/office/drawing/2014/main" id="{9297798A-1781-46D4-B5AF-2FBC7F3D67CC}"/>
            </a:ext>
          </a:extLst>
        </xdr:cNvPr>
        <xdr:cNvSpPr/>
      </xdr:nvSpPr>
      <xdr:spPr>
        <a:xfrm>
          <a:off x="2771776" y="2652712"/>
          <a:ext cx="2070100" cy="1494896"/>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xdr:col>
      <xdr:colOff>568855</xdr:colOff>
      <xdr:row>12</xdr:row>
      <xdr:rowOff>145519</xdr:rowOff>
    </xdr:from>
    <xdr:ext cx="1136786" cy="264560"/>
    <xdr:sp macro="" textlink="">
      <xdr:nvSpPr>
        <xdr:cNvPr id="10" name="TextBox 9">
          <a:extLst>
            <a:ext uri="{FF2B5EF4-FFF2-40B4-BE49-F238E27FC236}">
              <a16:creationId xmlns:a16="http://schemas.microsoft.com/office/drawing/2014/main" id="{6C404387-D9D7-4177-95F1-78AF681AF949}"/>
            </a:ext>
          </a:extLst>
        </xdr:cNvPr>
        <xdr:cNvSpPr txBox="1"/>
      </xdr:nvSpPr>
      <xdr:spPr>
        <a:xfrm>
          <a:off x="1177397" y="2368019"/>
          <a:ext cx="113678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solidFill>
                <a:schemeClr val="accent1">
                  <a:lumMod val="50000"/>
                </a:schemeClr>
              </a:solidFill>
              <a:latin typeface="Times New Roman" panose="02020603050405020304" pitchFamily="18" charset="0"/>
              <a:cs typeface="Times New Roman" panose="02020603050405020304" pitchFamily="18" charset="0"/>
            </a:rPr>
            <a:t>Status</a:t>
          </a:r>
          <a:r>
            <a:rPr lang="en-ID" sz="1100" baseline="0">
              <a:solidFill>
                <a:schemeClr val="accent1">
                  <a:lumMod val="50000"/>
                </a:schemeClr>
              </a:solidFill>
              <a:latin typeface="Times New Roman" panose="02020603050405020304" pitchFamily="18" charset="0"/>
              <a:cs typeface="Times New Roman" panose="02020603050405020304" pitchFamily="18" charset="0"/>
            </a:rPr>
            <a:t> Karyawan</a:t>
          </a:r>
        </a:p>
      </xdr:txBody>
    </xdr:sp>
    <xdr:clientData/>
  </xdr:oneCellAnchor>
  <xdr:oneCellAnchor>
    <xdr:from>
      <xdr:col>5</xdr:col>
      <xdr:colOff>337609</xdr:colOff>
      <xdr:row>12</xdr:row>
      <xdr:rowOff>139170</xdr:rowOff>
    </xdr:from>
    <xdr:ext cx="956287" cy="254493"/>
    <xdr:sp macro="" textlink="">
      <xdr:nvSpPr>
        <xdr:cNvPr id="11" name="TextBox 10">
          <a:extLst>
            <a:ext uri="{FF2B5EF4-FFF2-40B4-BE49-F238E27FC236}">
              <a16:creationId xmlns:a16="http://schemas.microsoft.com/office/drawing/2014/main" id="{7CDA240D-880E-411F-8791-87FD3E6EDBB9}"/>
            </a:ext>
          </a:extLst>
        </xdr:cNvPr>
        <xdr:cNvSpPr txBox="1"/>
      </xdr:nvSpPr>
      <xdr:spPr>
        <a:xfrm>
          <a:off x="3380317" y="2361670"/>
          <a:ext cx="95628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solidFill>
                <a:schemeClr val="accent1">
                  <a:lumMod val="50000"/>
                </a:schemeClr>
              </a:solidFill>
              <a:latin typeface="Times New Roman" panose="02020603050405020304" pitchFamily="18" charset="0"/>
              <a:cs typeface="Times New Roman" panose="02020603050405020304" pitchFamily="18" charset="0"/>
            </a:rPr>
            <a:t>Jenis kelamin</a:t>
          </a:r>
          <a:endParaRPr lang="en-ID" sz="1100" baseline="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10</xdr:col>
      <xdr:colOff>410103</xdr:colOff>
      <xdr:row>9</xdr:row>
      <xdr:rowOff>158749</xdr:rowOff>
    </xdr:from>
    <xdr:to>
      <xdr:col>13</xdr:col>
      <xdr:colOff>779317</xdr:colOff>
      <xdr:row>17</xdr:row>
      <xdr:rowOff>146049</xdr:rowOff>
    </xdr:to>
    <xdr:sp macro="" textlink="">
      <xdr:nvSpPr>
        <xdr:cNvPr id="12" name="Rectangle: Rounded Corners 11">
          <a:extLst>
            <a:ext uri="{FF2B5EF4-FFF2-40B4-BE49-F238E27FC236}">
              <a16:creationId xmlns:a16="http://schemas.microsoft.com/office/drawing/2014/main" id="{62FC8F25-08F2-4478-BE49-3610AF0000DE}"/>
            </a:ext>
          </a:extLst>
        </xdr:cNvPr>
        <xdr:cNvSpPr/>
      </xdr:nvSpPr>
      <xdr:spPr>
        <a:xfrm>
          <a:off x="6471467" y="1828717"/>
          <a:ext cx="2187623" cy="1471715"/>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33339</xdr:colOff>
      <xdr:row>25</xdr:row>
      <xdr:rowOff>6879</xdr:rowOff>
    </xdr:from>
    <xdr:to>
      <xdr:col>7</xdr:col>
      <xdr:colOff>582083</xdr:colOff>
      <xdr:row>33</xdr:row>
      <xdr:rowOff>20108</xdr:rowOff>
    </xdr:to>
    <xdr:sp macro="" textlink="">
      <xdr:nvSpPr>
        <xdr:cNvPr id="13" name="Rectangle: Rounded Corners 12">
          <a:extLst>
            <a:ext uri="{FF2B5EF4-FFF2-40B4-BE49-F238E27FC236}">
              <a16:creationId xmlns:a16="http://schemas.microsoft.com/office/drawing/2014/main" id="{7432CC20-C4B9-4D6C-8E30-C99EE331D983}"/>
            </a:ext>
          </a:extLst>
        </xdr:cNvPr>
        <xdr:cNvSpPr/>
      </xdr:nvSpPr>
      <xdr:spPr>
        <a:xfrm>
          <a:off x="641881" y="4637087"/>
          <a:ext cx="4199994" cy="1494896"/>
        </a:xfrm>
        <a:prstGeom prst="roundRect">
          <a:avLst/>
        </a:prstGeom>
        <a:solidFill>
          <a:schemeClr val="bg1"/>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3</xdr:col>
      <xdr:colOff>165630</xdr:colOff>
      <xdr:row>23</xdr:row>
      <xdr:rowOff>73023</xdr:rowOff>
    </xdr:from>
    <xdr:ext cx="1484637" cy="254493"/>
    <xdr:sp macro="" textlink="">
      <xdr:nvSpPr>
        <xdr:cNvPr id="14" name="TextBox 13">
          <a:extLst>
            <a:ext uri="{FF2B5EF4-FFF2-40B4-BE49-F238E27FC236}">
              <a16:creationId xmlns:a16="http://schemas.microsoft.com/office/drawing/2014/main" id="{D9A26E37-D581-40F3-89F9-CC1648FB2EF1}"/>
            </a:ext>
          </a:extLst>
        </xdr:cNvPr>
        <xdr:cNvSpPr txBox="1"/>
      </xdr:nvSpPr>
      <xdr:spPr>
        <a:xfrm>
          <a:off x="1991255" y="4332815"/>
          <a:ext cx="148463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solidFill>
                <a:schemeClr val="accent1">
                  <a:lumMod val="50000"/>
                </a:schemeClr>
              </a:solidFill>
              <a:latin typeface="Times New Roman" panose="02020603050405020304" pitchFamily="18" charset="0"/>
              <a:cs typeface="Times New Roman" panose="02020603050405020304" pitchFamily="18" charset="0"/>
            </a:rPr>
            <a:t>Generasi Tenaga Kerja</a:t>
          </a:r>
          <a:endParaRPr lang="en-ID" sz="1100" baseline="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555625</xdr:colOff>
      <xdr:row>13</xdr:row>
      <xdr:rowOff>105833</xdr:rowOff>
    </xdr:from>
    <xdr:to>
      <xdr:col>4</xdr:col>
      <xdr:colOff>396876</xdr:colOff>
      <xdr:row>22</xdr:row>
      <xdr:rowOff>142438</xdr:rowOff>
    </xdr:to>
    <xdr:graphicFrame macro="">
      <xdr:nvGraphicFramePr>
        <xdr:cNvPr id="15" name="Chart 14">
          <a:extLst>
            <a:ext uri="{FF2B5EF4-FFF2-40B4-BE49-F238E27FC236}">
              <a16:creationId xmlns:a16="http://schemas.microsoft.com/office/drawing/2014/main" id="{7CFAE810-285C-4337-87EB-235E1FAB2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370418</xdr:colOff>
      <xdr:row>13</xdr:row>
      <xdr:rowOff>92604</xdr:rowOff>
    </xdr:from>
    <xdr:to>
      <xdr:col>7</xdr:col>
      <xdr:colOff>515937</xdr:colOff>
      <xdr:row>22</xdr:row>
      <xdr:rowOff>122709</xdr:rowOff>
    </xdr:to>
    <xdr:graphicFrame macro="">
      <xdr:nvGraphicFramePr>
        <xdr:cNvPr id="16" name="Chart 15">
          <a:extLst>
            <a:ext uri="{FF2B5EF4-FFF2-40B4-BE49-F238E27FC236}">
              <a16:creationId xmlns:a16="http://schemas.microsoft.com/office/drawing/2014/main" id="{5316E1CB-49B5-4D41-8A18-0E791E679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185208</xdr:colOff>
      <xdr:row>24</xdr:row>
      <xdr:rowOff>105834</xdr:rowOff>
    </xdr:from>
    <xdr:to>
      <xdr:col>7</xdr:col>
      <xdr:colOff>436562</xdr:colOff>
      <xdr:row>32</xdr:row>
      <xdr:rowOff>153397</xdr:rowOff>
    </xdr:to>
    <xdr:graphicFrame macro="">
      <xdr:nvGraphicFramePr>
        <xdr:cNvPr id="17" name="Chart 16">
          <a:extLst>
            <a:ext uri="{FF2B5EF4-FFF2-40B4-BE49-F238E27FC236}">
              <a16:creationId xmlns:a16="http://schemas.microsoft.com/office/drawing/2014/main" id="{17AC6C13-9732-4CEE-8A43-704DC819D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8</xdr:row>
      <xdr:rowOff>148442</xdr:rowOff>
    </xdr:from>
    <xdr:to>
      <xdr:col>14</xdr:col>
      <xdr:colOff>408214</xdr:colOff>
      <xdr:row>18</xdr:row>
      <xdr:rowOff>49480</xdr:rowOff>
    </xdr:to>
    <xdr:graphicFrame macro="">
      <xdr:nvGraphicFramePr>
        <xdr:cNvPr id="18" name="Chart 17">
          <a:extLst>
            <a:ext uri="{FF2B5EF4-FFF2-40B4-BE49-F238E27FC236}">
              <a16:creationId xmlns:a16="http://schemas.microsoft.com/office/drawing/2014/main" id="{D6E5F8DA-A403-4993-BE5C-4146A0419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39688</xdr:colOff>
      <xdr:row>18</xdr:row>
      <xdr:rowOff>39688</xdr:rowOff>
    </xdr:from>
    <xdr:to>
      <xdr:col>14</xdr:col>
      <xdr:colOff>12370</xdr:colOff>
      <xdr:row>33</xdr:row>
      <xdr:rowOff>74221</xdr:rowOff>
    </xdr:to>
    <xdr:sp macro="" textlink="">
      <xdr:nvSpPr>
        <xdr:cNvPr id="19" name="Rectangle 18">
          <a:extLst>
            <a:ext uri="{FF2B5EF4-FFF2-40B4-BE49-F238E27FC236}">
              <a16:creationId xmlns:a16="http://schemas.microsoft.com/office/drawing/2014/main" id="{ADC309E7-9597-49D1-80CB-EAE8687417A2}"/>
            </a:ext>
          </a:extLst>
        </xdr:cNvPr>
        <xdr:cNvSpPr/>
      </xdr:nvSpPr>
      <xdr:spPr>
        <a:xfrm>
          <a:off x="4888779" y="3379623"/>
          <a:ext cx="3609500" cy="2817812"/>
        </a:xfrm>
        <a:prstGeom prst="rect">
          <a:avLst/>
        </a:prstGeom>
        <a:no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52916</xdr:colOff>
      <xdr:row>5</xdr:row>
      <xdr:rowOff>79844</xdr:rowOff>
    </xdr:from>
    <xdr:to>
      <xdr:col>7</xdr:col>
      <xdr:colOff>542395</xdr:colOff>
      <xdr:row>9</xdr:row>
      <xdr:rowOff>1</xdr:rowOff>
    </xdr:to>
    <mc:AlternateContent xmlns:mc="http://schemas.openxmlformats.org/markup-compatibility/2006">
      <mc:Choice xmlns:a14="http://schemas.microsoft.com/office/drawing/2010/main" Requires="a14">
        <xdr:graphicFrame macro="">
          <xdr:nvGraphicFramePr>
            <xdr:cNvPr id="20" name="Cabang 1">
              <a:extLst>
                <a:ext uri="{FF2B5EF4-FFF2-40B4-BE49-F238E27FC236}">
                  <a16:creationId xmlns:a16="http://schemas.microsoft.com/office/drawing/2014/main" id="{E8BBCE1D-750F-49DD-B1E1-F06D524A0C48}"/>
                </a:ext>
              </a:extLst>
            </xdr:cNvPr>
            <xdr:cNvGraphicFramePr/>
          </xdr:nvGraphicFramePr>
          <xdr:xfrm>
            <a:off x="0" y="0"/>
            <a:ext cx="0" cy="0"/>
          </xdr:xfrm>
          <a:graphic>
            <a:graphicData uri="http://schemas.microsoft.com/office/drawing/2010/slicer">
              <sle:slicer xmlns:sle="http://schemas.microsoft.com/office/drawing/2010/slicer" name="Cabang 1"/>
            </a:graphicData>
          </a:graphic>
        </xdr:graphicFrame>
      </mc:Choice>
      <mc:Fallback>
        <xdr:sp macro="" textlink="">
          <xdr:nvSpPr>
            <xdr:cNvPr id="0" name=""/>
            <xdr:cNvSpPr>
              <a:spLocks noTextEdit="1"/>
            </xdr:cNvSpPr>
          </xdr:nvSpPr>
          <xdr:spPr>
            <a:xfrm>
              <a:off x="661139" y="1055296"/>
              <a:ext cx="4138816" cy="70051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30287</xdr:colOff>
      <xdr:row>10</xdr:row>
      <xdr:rowOff>13230</xdr:rowOff>
    </xdr:from>
    <xdr:to>
      <xdr:col>10</xdr:col>
      <xdr:colOff>357187</xdr:colOff>
      <xdr:row>17</xdr:row>
      <xdr:rowOff>144214</xdr:rowOff>
    </xdr:to>
    <mc:AlternateContent xmlns:mc="http://schemas.openxmlformats.org/markup-compatibility/2006">
      <mc:Choice xmlns:a14="http://schemas.microsoft.com/office/drawing/2010/main" Requires="a14">
        <xdr:graphicFrame macro="">
          <xdr:nvGraphicFramePr>
            <xdr:cNvPr id="21" name="Divisi 1">
              <a:extLst>
                <a:ext uri="{FF2B5EF4-FFF2-40B4-BE49-F238E27FC236}">
                  <a16:creationId xmlns:a16="http://schemas.microsoft.com/office/drawing/2014/main" id="{52611024-D18A-43C7-810E-3D5380CF89DF}"/>
                </a:ext>
              </a:extLst>
            </xdr:cNvPr>
            <xdr:cNvGraphicFramePr/>
          </xdr:nvGraphicFramePr>
          <xdr:xfrm>
            <a:off x="0" y="0"/>
            <a:ext cx="0" cy="0"/>
          </xdr:xfrm>
          <a:graphic>
            <a:graphicData uri="http://schemas.microsoft.com/office/drawing/2010/slicer">
              <sle:slicer xmlns:sle="http://schemas.microsoft.com/office/drawing/2010/slicer" name="Divisi 1"/>
            </a:graphicData>
          </a:graphic>
        </xdr:graphicFrame>
      </mc:Choice>
      <mc:Fallback>
        <xdr:sp macro="" textlink="">
          <xdr:nvSpPr>
            <xdr:cNvPr id="0" name=""/>
            <xdr:cNvSpPr>
              <a:spLocks noTextEdit="1"/>
            </xdr:cNvSpPr>
          </xdr:nvSpPr>
          <xdr:spPr>
            <a:xfrm>
              <a:off x="4896070" y="1964134"/>
              <a:ext cx="1543346" cy="14966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518513</xdr:colOff>
      <xdr:row>7</xdr:row>
      <xdr:rowOff>16665</xdr:rowOff>
    </xdr:from>
    <xdr:ext cx="460382" cy="298800"/>
    <xdr:sp macro="" textlink="">
      <xdr:nvSpPr>
        <xdr:cNvPr id="22" name="TextBox 21">
          <a:extLst>
            <a:ext uri="{FF2B5EF4-FFF2-40B4-BE49-F238E27FC236}">
              <a16:creationId xmlns:a16="http://schemas.microsoft.com/office/drawing/2014/main" id="{7D683BD8-1316-4C80-BC3B-3ABFCC7F0147}"/>
            </a:ext>
          </a:extLst>
        </xdr:cNvPr>
        <xdr:cNvSpPr txBox="1"/>
      </xdr:nvSpPr>
      <xdr:spPr>
        <a:xfrm>
          <a:off x="5367604" y="1315529"/>
          <a:ext cx="46038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latin typeface="Times New Roman" panose="02020603050405020304" pitchFamily="18" charset="0"/>
              <a:cs typeface="Times New Roman" panose="02020603050405020304" pitchFamily="18" charset="0"/>
            </a:rPr>
            <a:t>122</a:t>
          </a:r>
          <a:r>
            <a:rPr lang="en-US" sz="1400" b="1">
              <a:solidFill>
                <a:schemeClr val="bg1"/>
              </a:solidFill>
              <a:latin typeface="Times New Roman" panose="02020603050405020304" pitchFamily="18" charset="0"/>
              <a:cs typeface="Times New Roman" panose="02020603050405020304" pitchFamily="18" charset="0"/>
            </a:rPr>
            <a:t> </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57150</xdr:colOff>
      <xdr:row>2</xdr:row>
      <xdr:rowOff>19051</xdr:rowOff>
    </xdr:from>
    <xdr:to>
      <xdr:col>6</xdr:col>
      <xdr:colOff>57150</xdr:colOff>
      <xdr:row>6</xdr:row>
      <xdr:rowOff>152401</xdr:rowOff>
    </xdr:to>
    <mc:AlternateContent xmlns:mc="http://schemas.openxmlformats.org/markup-compatibility/2006" xmlns:a14="http://schemas.microsoft.com/office/drawing/2010/main">
      <mc:Choice Requires="a14">
        <xdr:graphicFrame macro="">
          <xdr:nvGraphicFramePr>
            <xdr:cNvPr id="3" name="Cabang">
              <a:extLst>
                <a:ext uri="{FF2B5EF4-FFF2-40B4-BE49-F238E27FC236}">
                  <a16:creationId xmlns:a16="http://schemas.microsoft.com/office/drawing/2014/main" id="{E0AFA74A-5C2B-423C-BC3B-1DDF1DBFA1D1}"/>
                </a:ext>
              </a:extLst>
            </xdr:cNvPr>
            <xdr:cNvGraphicFramePr/>
          </xdr:nvGraphicFramePr>
          <xdr:xfrm>
            <a:off x="0" y="0"/>
            <a:ext cx="0" cy="0"/>
          </xdr:xfrm>
          <a:graphic>
            <a:graphicData uri="http://schemas.microsoft.com/office/drawing/2010/slicer">
              <sle:slicer xmlns:sle="http://schemas.microsoft.com/office/drawing/2010/slicer" name="Cabang"/>
            </a:graphicData>
          </a:graphic>
        </xdr:graphicFrame>
      </mc:Choice>
      <mc:Fallback xmlns="">
        <xdr:sp macro="" textlink="">
          <xdr:nvSpPr>
            <xdr:cNvPr id="0" name=""/>
            <xdr:cNvSpPr>
              <a:spLocks noTextEdit="1"/>
            </xdr:cNvSpPr>
          </xdr:nvSpPr>
          <xdr:spPr>
            <a:xfrm>
              <a:off x="2371725" y="400051"/>
              <a:ext cx="1828800" cy="8953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0</xdr:row>
      <xdr:rowOff>114300</xdr:rowOff>
    </xdr:from>
    <xdr:to>
      <xdr:col>10</xdr:col>
      <xdr:colOff>133350</xdr:colOff>
      <xdr:row>8</xdr:row>
      <xdr:rowOff>47625</xdr:rowOff>
    </xdr:to>
    <mc:AlternateContent xmlns:mc="http://schemas.openxmlformats.org/markup-compatibility/2006" xmlns:a14="http://schemas.microsoft.com/office/drawing/2010/main">
      <mc:Choice Requires="a14">
        <xdr:graphicFrame macro="">
          <xdr:nvGraphicFramePr>
            <xdr:cNvPr id="4" name="Divisi">
              <a:extLst>
                <a:ext uri="{FF2B5EF4-FFF2-40B4-BE49-F238E27FC236}">
                  <a16:creationId xmlns:a16="http://schemas.microsoft.com/office/drawing/2014/main" id="{80D6AA0B-471F-4ECA-836D-E06AF1D2EF72}"/>
                </a:ext>
              </a:extLst>
            </xdr:cNvPr>
            <xdr:cNvGraphicFramePr/>
          </xdr:nvGraphicFramePr>
          <xdr:xfrm>
            <a:off x="0" y="0"/>
            <a:ext cx="0" cy="0"/>
          </xdr:xfrm>
          <a:graphic>
            <a:graphicData uri="http://schemas.microsoft.com/office/drawing/2010/slicer">
              <sle:slicer xmlns:sle="http://schemas.microsoft.com/office/drawing/2010/slicer" name="Divisi"/>
            </a:graphicData>
          </a:graphic>
        </xdr:graphicFrame>
      </mc:Choice>
      <mc:Fallback xmlns="">
        <xdr:sp macro="" textlink="">
          <xdr:nvSpPr>
            <xdr:cNvPr id="0" name=""/>
            <xdr:cNvSpPr>
              <a:spLocks noTextEdit="1"/>
            </xdr:cNvSpPr>
          </xdr:nvSpPr>
          <xdr:spPr>
            <a:xfrm>
              <a:off x="4886325" y="114300"/>
              <a:ext cx="1828800" cy="14573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317500</xdr:colOff>
      <xdr:row>17</xdr:row>
      <xdr:rowOff>18257</xdr:rowOff>
    </xdr:from>
    <xdr:to>
      <xdr:col>3</xdr:col>
      <xdr:colOff>167687</xdr:colOff>
      <xdr:row>27</xdr:row>
      <xdr:rowOff>89522</xdr:rowOff>
    </xdr:to>
    <xdr:graphicFrame macro="">
      <xdr:nvGraphicFramePr>
        <xdr:cNvPr id="9" name="Chart 8">
          <a:extLst>
            <a:ext uri="{FF2B5EF4-FFF2-40B4-BE49-F238E27FC236}">
              <a16:creationId xmlns:a16="http://schemas.microsoft.com/office/drawing/2014/main" id="{0EAFF81D-1A68-4A31-95AF-6DD7997DC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33967</xdr:colOff>
      <xdr:row>15</xdr:row>
      <xdr:rowOff>177426</xdr:rowOff>
    </xdr:from>
    <xdr:to>
      <xdr:col>7</xdr:col>
      <xdr:colOff>373011</xdr:colOff>
      <xdr:row>27</xdr:row>
      <xdr:rowOff>96250</xdr:rowOff>
    </xdr:to>
    <xdr:graphicFrame macro="">
      <xdr:nvGraphicFramePr>
        <xdr:cNvPr id="10" name="Chart 9">
          <a:extLst>
            <a:ext uri="{FF2B5EF4-FFF2-40B4-BE49-F238E27FC236}">
              <a16:creationId xmlns:a16="http://schemas.microsoft.com/office/drawing/2014/main" id="{3679DEC2-EBE6-41D5-9F31-DDAF51AB2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377614</xdr:colOff>
      <xdr:row>17</xdr:row>
      <xdr:rowOff>143624</xdr:rowOff>
    </xdr:from>
    <xdr:to>
      <xdr:col>13</xdr:col>
      <xdr:colOff>76923</xdr:colOff>
      <xdr:row>27</xdr:row>
      <xdr:rowOff>100480</xdr:rowOff>
    </xdr:to>
    <xdr:graphicFrame macro="">
      <xdr:nvGraphicFramePr>
        <xdr:cNvPr id="11" name="Chart 10">
          <a:extLst>
            <a:ext uri="{FF2B5EF4-FFF2-40B4-BE49-F238E27FC236}">
              <a16:creationId xmlns:a16="http://schemas.microsoft.com/office/drawing/2014/main" id="{ECCC948E-3239-45E9-BA49-AE424A7BB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426173</xdr:colOff>
      <xdr:row>16</xdr:row>
      <xdr:rowOff>9340</xdr:rowOff>
    </xdr:from>
    <xdr:to>
      <xdr:col>16</xdr:col>
      <xdr:colOff>158232</xdr:colOff>
      <xdr:row>27</xdr:row>
      <xdr:rowOff>114928</xdr:rowOff>
    </xdr:to>
    <xdr:graphicFrame macro="">
      <xdr:nvGraphicFramePr>
        <xdr:cNvPr id="12" name="Chart 11">
          <a:extLst>
            <a:ext uri="{FF2B5EF4-FFF2-40B4-BE49-F238E27FC236}">
              <a16:creationId xmlns:a16="http://schemas.microsoft.com/office/drawing/2014/main" id="{8C4B3A8E-B4E3-4413-B122-723C56725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 refreshedDate="46244.504653356482" createdVersion="6" refreshedVersion="6" minRefreshableVersion="3" recordCount="122" xr:uid="{D59152A3-EA50-4017-A48F-141D2F71AD6B}">
  <cacheSource type="worksheet">
    <worksheetSource name="Table2"/>
  </cacheSource>
  <cacheFields count="26">
    <cacheField name="NIP" numFmtId="0">
      <sharedItems containsSemiMixedTypes="0" containsString="0" containsNumber="1" containsInteger="1" minValue="116137" maxValue="443057"/>
    </cacheField>
    <cacheField name="Nama Pegawai" numFmtId="0">
      <sharedItems count="122">
        <s v="Agnes Dirgantini Hakim"/>
        <s v="Moch Adnand Heriansyah"/>
        <s v="Anjani Meilawati Dewi"/>
        <s v="Muhammad Itsal Septian Rahman"/>
        <s v="Muhammad Doddy Djakaria"/>
        <s v="Novianti Warnerin"/>
        <s v="Suci Ananda"/>
        <s v="Nur Devi Yusiawati Gumelar"/>
        <s v="Revina Sadiyyah Fatimah"/>
        <s v="Ckasinta Winda S"/>
        <s v="Nurfa Resti Aulia"/>
        <s v="Pinaandriyani"/>
        <s v="Anggi Ratnasari"/>
        <s v="Putri Medina Agrezta"/>
        <s v="Rachmawati Sabilarizki"/>
        <s v="Muhammad Neval Maldini"/>
        <s v="Yolanda Novitri Setiawan"/>
        <s v="Sri Dewi Cahyadi"/>
        <s v="Bagus Rio Prasojo"/>
        <s v="Dita Julianti"/>
        <s v="Ahmad Hasan N"/>
        <s v="Iman"/>
        <s v="Jayanti Widiastuti"/>
        <s v="Salma Nur Aisy"/>
        <s v="Nitasukmala"/>
        <s v="Zella Zakiyah"/>
        <s v="Robbi Sujana"/>
        <s v="Hazana Delfani"/>
        <s v="Siti Nurjanah"/>
        <s v="Arief Sudianto"/>
        <s v="Citra Mega Lestari"/>
        <s v="Gina Sonia"/>
        <s v="Annisa Ayu Siwi"/>
        <s v="Lucky Wiratama Suganda"/>
        <s v="Armelia Nur Asyiffa"/>
        <s v="Muhamad Rifly Robiana"/>
        <s v="Nadya Saphira Esfandiari"/>
        <s v="Putri Marytha Setiadi"/>
        <s v="Agus Setiana"/>
        <s v="Dinda Agung Apriyana"/>
        <s v="Hanna Tasya"/>
        <s v="Citra Pradita Effendi"/>
        <s v="Lestari Pratiwi"/>
        <s v="Dicky Sudrajat"/>
        <s v="Diny Maryani Hermawan"/>
        <s v="Puji Ridwansyah"/>
        <s v="Ferdinand Is Suhendra"/>
        <s v="Rizky Irhas Firdaus"/>
        <s v="Rizal Ermanto"/>
        <s v="Rendi Agus Tirtana"/>
        <s v="Kania Anisa Lestari"/>
        <s v="Kirana Citra Destiyanti"/>
        <s v="Irfan Adi Pamuji"/>
        <s v="Dwi Laksana Bhakti"/>
        <s v="Dwi Putri Januari"/>
        <s v="Ridwan Raynaldi Putra"/>
        <s v="Muhammad Rizki Alhafizh"/>
        <s v="Delsa Satya Pratama"/>
        <s v="Dinda Sapta Carolina"/>
        <s v="Windi Ayu"/>
        <s v="Ristya Ariyani"/>
        <s v="Denis Muhammad Irfan"/>
        <s v="Mariam Marianti"/>
        <s v="Muni Ledia Astuti"/>
        <s v="Ari Ramdani"/>
        <s v="Suherdi"/>
        <s v="Bella Putri Nastiti"/>
        <s v="Indri Zaqiah"/>
        <s v="Rizky Syaeful Anwar"/>
        <s v="Juanita Nurfadhillah Hafyani"/>
        <s v="Yolanda Ayu Syafira"/>
        <s v="Regina Eldinia Rahayu"/>
        <s v="Siti Nurmala Asy'Syifa"/>
        <s v="Selisa Fatimah"/>
        <s v="Raka Gustiana"/>
        <s v="Dani Irawan"/>
        <s v="Saepuloh"/>
        <s v="Peter Sulaeman"/>
        <s v="Sinta Komara"/>
        <s v="Lulu Adilah Fasya"/>
        <s v="Lusianasaraswati Dewi"/>
        <s v="Evi Hafizah Rahma"/>
        <s v="Adnan Saefulloh"/>
        <s v="Ajeng Gerhana Wulan"/>
        <s v="Ana Muslimah"/>
        <s v="Avrialy Kosvi"/>
        <s v="Annisa Maretiamy"/>
        <s v="Winda Ayulia Agustina"/>
        <s v="Anisa Ayu Parwati"/>
        <s v="Suci Wulan Sari"/>
        <s v="Ninne Nuraida"/>
        <s v="Andrian Kusnadi"/>
        <s v="Neneng Royani"/>
        <s v="Widi Dwi Adhawati"/>
        <s v="Annisa Dessetiani Lee"/>
        <s v="Daniel Oktario"/>
        <s v="Agung saputra"/>
        <s v="Lassandra Kattyana Santos"/>
        <s v="Furqon Saefulloh"/>
        <s v="Riska Gita Suhana"/>
        <s v="Hanasira Afifa"/>
        <s v="Deri Fauzi"/>
        <s v="Yulia Nur Safitri"/>
        <s v="Sonia Oktaviana"/>
        <s v="Erwin Bani Adam"/>
        <s v="Ira Mariana"/>
        <s v="Susanti"/>
        <s v="Dwi Wira Surachandra"/>
        <s v="Adi Darmawan"/>
        <s v="Khansa R"/>
        <s v="Hilda Nathaniela"/>
        <s v="Alamda Verdiyana"/>
        <s v="Arif.Santoso"/>
        <s v="Dhea Novia Parhana"/>
        <s v="Esya Swasti Sukmatia"/>
        <s v="Meisa Damayanti"/>
        <s v="Bayu Nugraha Libriansyah"/>
        <s v="Israqi Atsiruddin Sidqi Ramdhani"/>
        <s v="Renaya Sarasti"/>
        <s v="Aulia Rahmawaty"/>
        <s v="Ichsan Nurmansyah"/>
        <s v="Muhammad Aldi Ramdhani"/>
      </sharedItems>
    </cacheField>
    <cacheField name="Divisi" numFmtId="0">
      <sharedItems count="4">
        <s v="Bisnis"/>
        <s v="Support"/>
        <s v="Asset"/>
        <s v="Managerial"/>
      </sharedItems>
    </cacheField>
    <cacheField name="Level" numFmtId="0">
      <sharedItems/>
    </cacheField>
    <cacheField name="Cabang" numFmtId="0">
      <sharedItems count="2">
        <s v="Jakarta"/>
        <s v="Bandung"/>
      </sharedItems>
    </cacheField>
    <cacheField name="Status" numFmtId="0">
      <sharedItems count="3">
        <s v="Permanent"/>
        <s v="Contract"/>
        <s v="Outsource"/>
      </sharedItems>
    </cacheField>
    <cacheField name="Jenis Kelamin" numFmtId="0">
      <sharedItems count="2">
        <s v="Perempuan"/>
        <s v="Laki-laki"/>
      </sharedItems>
    </cacheField>
    <cacheField name="Tanggal Lahir" numFmtId="164">
      <sharedItems containsSemiMixedTypes="0" containsNonDate="0" containsDate="1" containsString="0" minDate="1970-03-17T00:00:00" maxDate="2002-08-14T00:00:00"/>
    </cacheField>
    <cacheField name="Mulai Kerja" numFmtId="164">
      <sharedItems containsSemiMixedTypes="0" containsNonDate="0" containsDate="1" containsString="0" minDate="2001-06-01T00:00:00" maxDate="2023-07-02T00:00:00"/>
    </cacheField>
    <cacheField name="Usia" numFmtId="1">
      <sharedItems containsSemiMixedTypes="0" containsString="0" containsNumber="1" containsInteger="1" minValue="23" maxValue="56"/>
    </cacheField>
    <cacheField name="Generasi Kerja" numFmtId="164">
      <sharedItems count="4">
        <s v="Gen Y"/>
        <s v="Gen X"/>
        <s v="Gen Z"/>
        <s v="Baby Boomer"/>
      </sharedItems>
    </cacheField>
    <cacheField name="Pendidikan" numFmtId="0">
      <sharedItems/>
    </cacheField>
    <cacheField name="Jan" numFmtId="0">
      <sharedItems containsString="0" containsBlank="1" containsNumber="1" minValue="1.07" maxValue="4.99"/>
    </cacheField>
    <cacheField name="Feb" numFmtId="0">
      <sharedItems containsString="0" containsBlank="1" containsNumber="1" minValue="1.01" maxValue="4.95"/>
    </cacheField>
    <cacheField name="Mar" numFmtId="0">
      <sharedItems containsString="0" containsBlank="1" containsNumber="1" minValue="1" maxValue="5"/>
    </cacheField>
    <cacheField name="Apr" numFmtId="0">
      <sharedItems containsString="0" containsBlank="1" containsNumber="1" minValue="1.02" maxValue="4.99"/>
    </cacheField>
    <cacheField name="May" numFmtId="0">
      <sharedItems containsString="0" containsBlank="1" containsNumber="1" minValue="1.04" maxValue="4.9800000000000004"/>
    </cacheField>
    <cacheField name="Jun" numFmtId="0">
      <sharedItems containsString="0" containsBlank="1" containsNumber="1" minValue="1.04" maxValue="4.99"/>
    </cacheField>
    <cacheField name="Jul" numFmtId="0">
      <sharedItems containsSemiMixedTypes="0" containsString="0" containsNumber="1" minValue="1" maxValue="5"/>
    </cacheField>
    <cacheField name="Aug" numFmtId="0">
      <sharedItems containsSemiMixedTypes="0" containsString="0" containsNumber="1" minValue="1.02" maxValue="4.95"/>
    </cacheField>
    <cacheField name="Sep" numFmtId="0">
      <sharedItems containsSemiMixedTypes="0" containsString="0" containsNumber="1" minValue="1.05" maxValue="4.9800000000000004"/>
    </cacheField>
    <cacheField name="Oct" numFmtId="0">
      <sharedItems containsSemiMixedTypes="0" containsString="0" containsNumber="1" minValue="1.05" maxValue="4.96"/>
    </cacheField>
    <cacheField name="Nov" numFmtId="0">
      <sharedItems containsSemiMixedTypes="0" containsString="0" containsNumber="1" minValue="1.03" maxValue="4.9400000000000004"/>
    </cacheField>
    <cacheField name="Dec" numFmtId="0">
      <sharedItems containsSemiMixedTypes="0" containsString="0" containsNumber="1" minValue="1.1100000000000001" maxValue="4.96"/>
    </cacheField>
    <cacheField name="Average" numFmtId="2">
      <sharedItems containsSemiMixedTypes="0" containsString="0" containsNumber="1" minValue="2.105833333333333" maxValue="4.1599999999999993"/>
    </cacheField>
    <cacheField name="Kinerja" numFmtId="0">
      <sharedItems count="3">
        <s v="Med"/>
        <s v="Low"/>
        <s v="High"/>
      </sharedItems>
    </cacheField>
  </cacheFields>
  <extLst>
    <ext xmlns:x14="http://schemas.microsoft.com/office/spreadsheetml/2009/9/main" uri="{725AE2AE-9491-48be-B2B4-4EB974FC3084}">
      <x14:pivotCacheDefinition pivotCacheId="1793926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n v="116137"/>
    <x v="0"/>
    <x v="0"/>
    <s v="Staff"/>
    <x v="0"/>
    <x v="0"/>
    <x v="0"/>
    <d v="1991-01-01T00:00:00"/>
    <d v="2017-05-01T00:00:00"/>
    <n v="35"/>
    <x v="0"/>
    <s v="Diploma"/>
    <n v="4.9400000000000004"/>
    <n v="4.59"/>
    <n v="1.74"/>
    <n v="4.25"/>
    <n v="3.85"/>
    <n v="1.26"/>
    <n v="1.52"/>
    <n v="2.0699999999999998"/>
    <n v="2.15"/>
    <n v="4.75"/>
    <n v="2.17"/>
    <n v="3.51"/>
    <n v="3.0666666666666664"/>
    <x v="0"/>
  </r>
  <r>
    <n v="116857"/>
    <x v="1"/>
    <x v="0"/>
    <s v="Staff"/>
    <x v="1"/>
    <x v="0"/>
    <x v="1"/>
    <d v="1994-05-02T00:00:00"/>
    <d v="2017-04-01T00:00:00"/>
    <n v="32"/>
    <x v="0"/>
    <s v="D3"/>
    <n v="3.13"/>
    <n v="2.2200000000000002"/>
    <n v="2.5099999999999998"/>
    <n v="4.25"/>
    <n v="4.55"/>
    <n v="4.9800000000000004"/>
    <n v="2.29"/>
    <n v="1.42"/>
    <n v="1.98"/>
    <n v="3.95"/>
    <n v="3.75"/>
    <n v="3.67"/>
    <n v="3.2250000000000001"/>
    <x v="0"/>
  </r>
  <r>
    <n v="117360"/>
    <x v="2"/>
    <x v="1"/>
    <s v="Staff"/>
    <x v="0"/>
    <x v="0"/>
    <x v="0"/>
    <d v="1986-02-28T00:00:00"/>
    <d v="2015-03-02T00:00:00"/>
    <n v="40"/>
    <x v="1"/>
    <s v="S1"/>
    <n v="1.19"/>
    <n v="1.64"/>
    <n v="4.16"/>
    <n v="1.0900000000000001"/>
    <n v="3.32"/>
    <n v="3.52"/>
    <n v="4.2"/>
    <n v="3.23"/>
    <n v="2.35"/>
    <n v="1.52"/>
    <n v="1.37"/>
    <n v="2.12"/>
    <n v="2.4758333333333336"/>
    <x v="1"/>
  </r>
  <r>
    <n v="120236"/>
    <x v="3"/>
    <x v="0"/>
    <s v="Staff"/>
    <x v="1"/>
    <x v="1"/>
    <x v="1"/>
    <d v="1995-06-03T00:00:00"/>
    <d v="2022-03-08T00:00:00"/>
    <n v="31"/>
    <x v="0"/>
    <s v="D3"/>
    <n v="2.12"/>
    <n v="1.68"/>
    <n v="3.41"/>
    <n v="4.62"/>
    <n v="2.33"/>
    <n v="3.95"/>
    <n v="3.56"/>
    <n v="2.4900000000000002"/>
    <n v="3.84"/>
    <n v="1.86"/>
    <n v="3.22"/>
    <n v="1.9"/>
    <n v="2.9149999999999996"/>
    <x v="1"/>
  </r>
  <r>
    <n v="129289"/>
    <x v="4"/>
    <x v="0"/>
    <s v="Staff"/>
    <x v="1"/>
    <x v="0"/>
    <x v="1"/>
    <d v="1982-11-27T00:00:00"/>
    <d v="2016-07-01T00:00:00"/>
    <n v="43"/>
    <x v="1"/>
    <s v="S1"/>
    <n v="4.53"/>
    <n v="2.9"/>
    <n v="1.51"/>
    <n v="1.8"/>
    <n v="4.5199999999999996"/>
    <n v="3.24"/>
    <n v="2.59"/>
    <n v="2.58"/>
    <n v="3.25"/>
    <n v="3.1"/>
    <n v="2.91"/>
    <n v="3.62"/>
    <n v="3.0458333333333338"/>
    <x v="0"/>
  </r>
  <r>
    <n v="129462"/>
    <x v="5"/>
    <x v="0"/>
    <s v="Officer"/>
    <x v="1"/>
    <x v="0"/>
    <x v="0"/>
    <d v="1990-05-04T00:00:00"/>
    <d v="2017-05-01T00:00:00"/>
    <n v="36"/>
    <x v="0"/>
    <s v="S1"/>
    <n v="2.2999999999999998"/>
    <n v="2.76"/>
    <n v="3.69"/>
    <n v="3.25"/>
    <n v="2.6"/>
    <n v="3.92"/>
    <n v="5"/>
    <n v="1.87"/>
    <n v="4.37"/>
    <n v="2.87"/>
    <n v="2.57"/>
    <n v="1.97"/>
    <n v="3.0975000000000001"/>
    <x v="0"/>
  </r>
  <r>
    <n v="134130"/>
    <x v="6"/>
    <x v="0"/>
    <s v="Staff"/>
    <x v="0"/>
    <x v="0"/>
    <x v="0"/>
    <d v="1991-11-30T00:00:00"/>
    <d v="2014-03-03T00:00:00"/>
    <n v="34"/>
    <x v="0"/>
    <s v="S1"/>
    <n v="4.72"/>
    <n v="3.68"/>
    <n v="3.73"/>
    <n v="3.21"/>
    <n v="3.51"/>
    <n v="3.78"/>
    <n v="3.58"/>
    <n v="1.49"/>
    <n v="4.49"/>
    <n v="4.3499999999999996"/>
    <n v="4"/>
    <n v="2.88"/>
    <n v="3.6183333333333336"/>
    <x v="0"/>
  </r>
  <r>
    <n v="135771"/>
    <x v="7"/>
    <x v="2"/>
    <s v="Staff"/>
    <x v="0"/>
    <x v="0"/>
    <x v="0"/>
    <d v="1983-04-27T00:00:00"/>
    <d v="2017-07-01T00:00:00"/>
    <n v="43"/>
    <x v="1"/>
    <s v="S1"/>
    <n v="3.82"/>
    <n v="3.92"/>
    <n v="3.16"/>
    <n v="4.45"/>
    <n v="3.58"/>
    <n v="4.87"/>
    <n v="2.5"/>
    <n v="4.4400000000000004"/>
    <n v="4.45"/>
    <n v="3.91"/>
    <n v="1.95"/>
    <n v="2.06"/>
    <n v="3.5925000000000011"/>
    <x v="0"/>
  </r>
  <r>
    <n v="139299"/>
    <x v="8"/>
    <x v="0"/>
    <s v="Officer"/>
    <x v="1"/>
    <x v="0"/>
    <x v="0"/>
    <d v="1978-07-01T00:00:00"/>
    <d v="2009-11-30T00:00:00"/>
    <n v="48"/>
    <x v="1"/>
    <s v="Diploma"/>
    <n v="2.25"/>
    <n v="3"/>
    <n v="2.04"/>
    <n v="3.43"/>
    <n v="2.63"/>
    <n v="1.98"/>
    <n v="2.71"/>
    <n v="2.68"/>
    <n v="4.72"/>
    <n v="2.6"/>
    <n v="4.3499999999999996"/>
    <n v="2.1"/>
    <n v="2.874166666666667"/>
    <x v="1"/>
  </r>
  <r>
    <n v="141347"/>
    <x v="9"/>
    <x v="0"/>
    <s v="Staff"/>
    <x v="0"/>
    <x v="0"/>
    <x v="0"/>
    <d v="1977-07-16T00:00:00"/>
    <d v="2005-09-03T00:00:00"/>
    <n v="49"/>
    <x v="1"/>
    <s v="S1"/>
    <n v="3.27"/>
    <n v="1.56"/>
    <n v="4.76"/>
    <n v="1.24"/>
    <n v="3.7"/>
    <n v="3.97"/>
    <n v="3.63"/>
    <n v="2.74"/>
    <n v="3.04"/>
    <n v="2.5"/>
    <n v="2.73"/>
    <n v="4.12"/>
    <n v="3.1049999999999991"/>
    <x v="0"/>
  </r>
  <r>
    <n v="144305"/>
    <x v="10"/>
    <x v="0"/>
    <s v="Staff"/>
    <x v="0"/>
    <x v="0"/>
    <x v="0"/>
    <d v="1990-03-19T00:00:00"/>
    <d v="2017-10-01T00:00:00"/>
    <n v="36"/>
    <x v="0"/>
    <s v="S1"/>
    <n v="1.47"/>
    <n v="3.31"/>
    <n v="4.75"/>
    <n v="1.18"/>
    <n v="4.72"/>
    <n v="4.5599999999999996"/>
    <n v="4.51"/>
    <n v="1.84"/>
    <n v="3.07"/>
    <n v="1.18"/>
    <n v="1.97"/>
    <n v="3.59"/>
    <n v="3.0125000000000006"/>
    <x v="0"/>
  </r>
  <r>
    <n v="145284"/>
    <x v="11"/>
    <x v="0"/>
    <s v="Staff"/>
    <x v="0"/>
    <x v="0"/>
    <x v="0"/>
    <d v="1986-03-17T00:00:00"/>
    <d v="2017-11-01T00:00:00"/>
    <n v="40"/>
    <x v="1"/>
    <s v="S1"/>
    <n v="1.85"/>
    <n v="1.74"/>
    <n v="1.35"/>
    <n v="2.16"/>
    <n v="4.49"/>
    <n v="2.94"/>
    <n v="1"/>
    <n v="4.6100000000000003"/>
    <n v="1.94"/>
    <n v="4.33"/>
    <n v="3.37"/>
    <n v="3.26"/>
    <n v="2.7533333333333339"/>
    <x v="1"/>
  </r>
  <r>
    <n v="148040"/>
    <x v="12"/>
    <x v="0"/>
    <s v="Staff"/>
    <x v="1"/>
    <x v="0"/>
    <x v="0"/>
    <d v="1985-10-20T00:00:00"/>
    <d v="2013-07-11T00:00:00"/>
    <n v="40"/>
    <x v="1"/>
    <s v="S1"/>
    <n v="1.2"/>
    <n v="2.57"/>
    <n v="2.0299999999999998"/>
    <n v="3.89"/>
    <n v="1.7"/>
    <n v="2.36"/>
    <n v="3"/>
    <n v="1.83"/>
    <n v="2.63"/>
    <n v="1.21"/>
    <n v="3.33"/>
    <n v="4.45"/>
    <n v="2.5166666666666666"/>
    <x v="1"/>
  </r>
  <r>
    <n v="156358"/>
    <x v="13"/>
    <x v="3"/>
    <s v="Manager"/>
    <x v="0"/>
    <x v="0"/>
    <x v="0"/>
    <d v="1984-12-02T00:00:00"/>
    <d v="2010-12-15T00:00:00"/>
    <n v="41"/>
    <x v="1"/>
    <s v="SMA"/>
    <n v="2.67"/>
    <n v="2.2200000000000002"/>
    <n v="2.46"/>
    <n v="2.39"/>
    <n v="2.0699999999999998"/>
    <n v="1.48"/>
    <n v="3.11"/>
    <n v="3"/>
    <n v="4.8499999999999996"/>
    <n v="2.5099999999999998"/>
    <n v="2.19"/>
    <n v="3.8"/>
    <n v="2.7291666666666665"/>
    <x v="1"/>
  </r>
  <r>
    <n v="160464"/>
    <x v="14"/>
    <x v="0"/>
    <s v="Staff"/>
    <x v="1"/>
    <x v="0"/>
    <x v="0"/>
    <d v="1987-03-06T00:00:00"/>
    <d v="2012-07-30T00:00:00"/>
    <n v="39"/>
    <x v="0"/>
    <s v="S1"/>
    <n v="2.09"/>
    <n v="2.61"/>
    <n v="2.46"/>
    <n v="2.66"/>
    <n v="2.15"/>
    <n v="4.46"/>
    <n v="1"/>
    <n v="3.94"/>
    <n v="3.23"/>
    <n v="3.52"/>
    <n v="4.32"/>
    <n v="2.62"/>
    <n v="2.9216666666666664"/>
    <x v="1"/>
  </r>
  <r>
    <n v="163937"/>
    <x v="15"/>
    <x v="0"/>
    <s v="Officer"/>
    <x v="0"/>
    <x v="0"/>
    <x v="1"/>
    <d v="1989-01-17T00:00:00"/>
    <d v="2016-05-01T00:00:00"/>
    <n v="37"/>
    <x v="0"/>
    <s v="S1"/>
    <n v="1.08"/>
    <n v="2.95"/>
    <n v="4.25"/>
    <n v="2.46"/>
    <n v="1.44"/>
    <n v="3.13"/>
    <n v="3.54"/>
    <n v="3.81"/>
    <n v="4.0599999999999996"/>
    <n v="4.22"/>
    <n v="4.75"/>
    <n v="2.09"/>
    <n v="3.1483333333333334"/>
    <x v="0"/>
  </r>
  <r>
    <n v="164354"/>
    <x v="16"/>
    <x v="2"/>
    <s v="Staff"/>
    <x v="0"/>
    <x v="0"/>
    <x v="0"/>
    <d v="1982-06-28T00:00:00"/>
    <d v="2008-03-11T00:00:00"/>
    <n v="44"/>
    <x v="1"/>
    <s v="S1"/>
    <n v="3.89"/>
    <n v="1.92"/>
    <n v="4.87"/>
    <n v="3.89"/>
    <n v="4.47"/>
    <n v="3"/>
    <n v="2.37"/>
    <n v="2.8"/>
    <n v="4.3"/>
    <n v="1.27"/>
    <n v="1.77"/>
    <n v="3"/>
    <n v="3.1291666666666669"/>
    <x v="0"/>
  </r>
  <r>
    <n v="164388"/>
    <x v="17"/>
    <x v="0"/>
    <s v="Staff"/>
    <x v="1"/>
    <x v="0"/>
    <x v="0"/>
    <d v="1980-11-11T00:00:00"/>
    <d v="2006-01-01T00:00:00"/>
    <n v="45"/>
    <x v="1"/>
    <s v="S1"/>
    <n v="2.4300000000000002"/>
    <n v="3.08"/>
    <n v="3.97"/>
    <n v="1.0900000000000001"/>
    <n v="4.3"/>
    <n v="2.2599999999999998"/>
    <n v="1.89"/>
    <n v="3.04"/>
    <n v="4.28"/>
    <n v="2.5099999999999998"/>
    <n v="2.82"/>
    <n v="3.38"/>
    <n v="2.9208333333333338"/>
    <x v="1"/>
  </r>
  <r>
    <n v="168490"/>
    <x v="18"/>
    <x v="1"/>
    <s v="Staff"/>
    <x v="1"/>
    <x v="1"/>
    <x v="1"/>
    <d v="1995-12-23T00:00:00"/>
    <d v="2021-10-16T00:00:00"/>
    <n v="30"/>
    <x v="0"/>
    <s v="S1"/>
    <n v="1.18"/>
    <n v="3.47"/>
    <n v="1.19"/>
    <n v="3.92"/>
    <n v="2.11"/>
    <n v="4.76"/>
    <n v="2.29"/>
    <n v="4.29"/>
    <n v="4.47"/>
    <n v="4.38"/>
    <n v="2.0699999999999998"/>
    <n v="4.3899999999999997"/>
    <n v="3.2099999999999995"/>
    <x v="0"/>
  </r>
  <r>
    <n v="171650"/>
    <x v="19"/>
    <x v="0"/>
    <s v="Staff"/>
    <x v="0"/>
    <x v="0"/>
    <x v="0"/>
    <d v="1982-04-01T00:00:00"/>
    <d v="2012-07-20T00:00:00"/>
    <n v="44"/>
    <x v="1"/>
    <s v="D3"/>
    <n v="1.61"/>
    <n v="4.95"/>
    <n v="3.74"/>
    <n v="4.58"/>
    <n v="3.6"/>
    <n v="1.95"/>
    <n v="2.36"/>
    <n v="2.94"/>
    <n v="1.97"/>
    <n v="1.1499999999999999"/>
    <n v="3.53"/>
    <n v="2.74"/>
    <n v="2.9266666666666663"/>
    <x v="1"/>
  </r>
  <r>
    <n v="173975"/>
    <x v="20"/>
    <x v="1"/>
    <s v="Staff"/>
    <x v="1"/>
    <x v="1"/>
    <x v="1"/>
    <d v="1994-08-02T00:00:00"/>
    <d v="2022-07-16T00:00:00"/>
    <n v="32"/>
    <x v="0"/>
    <s v="D3"/>
    <n v="1.79"/>
    <n v="3.07"/>
    <n v="1"/>
    <n v="1.67"/>
    <n v="1.58"/>
    <n v="3.63"/>
    <n v="4.6100000000000003"/>
    <n v="3.79"/>
    <n v="1.71"/>
    <n v="4.1900000000000004"/>
    <n v="2.25"/>
    <n v="4.72"/>
    <n v="2.8341666666666665"/>
    <x v="1"/>
  </r>
  <r>
    <n v="175268"/>
    <x v="21"/>
    <x v="2"/>
    <s v="Staff"/>
    <x v="0"/>
    <x v="1"/>
    <x v="1"/>
    <d v="1990-10-07T00:00:00"/>
    <d v="2020-07-01T00:00:00"/>
    <n v="35"/>
    <x v="0"/>
    <s v="S1"/>
    <n v="1.43"/>
    <n v="1.51"/>
    <n v="2.79"/>
    <n v="1.64"/>
    <n v="4.55"/>
    <n v="1.65"/>
    <n v="2.0099999999999998"/>
    <n v="2.2400000000000002"/>
    <n v="1.42"/>
    <n v="1.1499999999999999"/>
    <n v="1.97"/>
    <n v="3.51"/>
    <n v="2.1558333333333333"/>
    <x v="1"/>
  </r>
  <r>
    <n v="175863"/>
    <x v="22"/>
    <x v="0"/>
    <s v="Staff"/>
    <x v="0"/>
    <x v="0"/>
    <x v="0"/>
    <d v="1989-11-23T00:00:00"/>
    <d v="2015-03-01T00:00:00"/>
    <n v="36"/>
    <x v="0"/>
    <s v="S1"/>
    <n v="4.53"/>
    <n v="1.86"/>
    <n v="2.72"/>
    <n v="4.38"/>
    <n v="3.33"/>
    <n v="2.82"/>
    <n v="3.33"/>
    <n v="2.1800000000000002"/>
    <n v="2.7"/>
    <n v="4.26"/>
    <n v="4.8099999999999996"/>
    <n v="2.62"/>
    <n v="3.2949999999999999"/>
    <x v="0"/>
  </r>
  <r>
    <n v="176873"/>
    <x v="23"/>
    <x v="0"/>
    <s v="Staff"/>
    <x v="0"/>
    <x v="0"/>
    <x v="0"/>
    <d v="1993-03-06T00:00:00"/>
    <d v="2015-08-01T00:00:00"/>
    <n v="33"/>
    <x v="0"/>
    <s v="S1"/>
    <n v="2.19"/>
    <n v="1.37"/>
    <n v="1.66"/>
    <n v="4.45"/>
    <n v="4.8899999999999997"/>
    <n v="4.43"/>
    <n v="3.72"/>
    <n v="4.1399999999999997"/>
    <n v="2.65"/>
    <n v="1.79"/>
    <n v="2.2999999999999998"/>
    <n v="1.46"/>
    <n v="2.9208333333333329"/>
    <x v="1"/>
  </r>
  <r>
    <n v="180840"/>
    <x v="24"/>
    <x v="0"/>
    <s v="Staff"/>
    <x v="0"/>
    <x v="1"/>
    <x v="0"/>
    <d v="1994-05-10T00:00:00"/>
    <d v="2021-11-01T00:00:00"/>
    <n v="32"/>
    <x v="0"/>
    <s v="S1"/>
    <n v="1.71"/>
    <n v="3.8"/>
    <n v="1.46"/>
    <n v="1.43"/>
    <n v="1.6"/>
    <n v="4.3499999999999996"/>
    <n v="2.21"/>
    <n v="1.02"/>
    <n v="1.83"/>
    <n v="1.52"/>
    <n v="3.12"/>
    <n v="1.22"/>
    <n v="2.105833333333333"/>
    <x v="1"/>
  </r>
  <r>
    <n v="183726"/>
    <x v="25"/>
    <x v="0"/>
    <s v="Staff"/>
    <x v="0"/>
    <x v="0"/>
    <x v="0"/>
    <d v="1995-11-15T00:00:00"/>
    <d v="2017-11-01T00:00:00"/>
    <n v="30"/>
    <x v="0"/>
    <s v="S1"/>
    <n v="2.29"/>
    <n v="1.01"/>
    <n v="4.05"/>
    <n v="2.84"/>
    <n v="4.75"/>
    <n v="3.12"/>
    <n v="4.6900000000000004"/>
    <n v="3.47"/>
    <n v="3.36"/>
    <n v="4.8600000000000003"/>
    <n v="3.85"/>
    <n v="2.34"/>
    <n v="3.3858333333333328"/>
    <x v="0"/>
  </r>
  <r>
    <n v="184747"/>
    <x v="26"/>
    <x v="0"/>
    <s v="Officer"/>
    <x v="1"/>
    <x v="0"/>
    <x v="1"/>
    <d v="1986-04-28T00:00:00"/>
    <d v="2010-06-21T00:00:00"/>
    <n v="40"/>
    <x v="1"/>
    <s v="S1"/>
    <n v="1.18"/>
    <n v="3.55"/>
    <n v="4.51"/>
    <n v="2.38"/>
    <n v="1.08"/>
    <n v="3.35"/>
    <n v="1.55"/>
    <n v="2.2000000000000002"/>
    <n v="3.97"/>
    <n v="4"/>
    <n v="3.7"/>
    <n v="2.52"/>
    <n v="2.8324999999999996"/>
    <x v="1"/>
  </r>
  <r>
    <n v="186935"/>
    <x v="27"/>
    <x v="0"/>
    <s v="Staff"/>
    <x v="0"/>
    <x v="0"/>
    <x v="0"/>
    <d v="1983-06-23T00:00:00"/>
    <d v="2010-01-04T00:00:00"/>
    <n v="43"/>
    <x v="1"/>
    <s v="D3"/>
    <n v="1.45"/>
    <n v="2.9"/>
    <n v="3.51"/>
    <n v="3.07"/>
    <n v="2.19"/>
    <n v="4.99"/>
    <n v="4.87"/>
    <n v="4.6399999999999997"/>
    <n v="1.1299999999999999"/>
    <n v="2.9"/>
    <n v="1.39"/>
    <n v="2.96"/>
    <n v="3"/>
    <x v="0"/>
  </r>
  <r>
    <n v="187577"/>
    <x v="28"/>
    <x v="0"/>
    <s v="Staff"/>
    <x v="0"/>
    <x v="0"/>
    <x v="0"/>
    <d v="1995-09-15T00:00:00"/>
    <d v="2018-01-01T00:00:00"/>
    <n v="30"/>
    <x v="0"/>
    <s v="S1"/>
    <n v="2.87"/>
    <n v="2.61"/>
    <n v="2.02"/>
    <n v="4.0599999999999996"/>
    <n v="2.1"/>
    <n v="1.91"/>
    <n v="3.95"/>
    <n v="4.71"/>
    <n v="3.14"/>
    <n v="4.4000000000000004"/>
    <n v="3.01"/>
    <n v="2.2400000000000002"/>
    <n v="3.0850000000000004"/>
    <x v="0"/>
  </r>
  <r>
    <n v="190895"/>
    <x v="29"/>
    <x v="0"/>
    <s v="Staff"/>
    <x v="0"/>
    <x v="0"/>
    <x v="1"/>
    <d v="1987-06-26T00:00:00"/>
    <d v="2016-04-01T00:00:00"/>
    <n v="39"/>
    <x v="0"/>
    <s v="S1"/>
    <n v="2.72"/>
    <n v="3.88"/>
    <n v="1.88"/>
    <n v="2.38"/>
    <n v="4.47"/>
    <n v="3.85"/>
    <n v="4.93"/>
    <n v="2.48"/>
    <n v="3.29"/>
    <n v="1.33"/>
    <n v="3.2"/>
    <n v="1.75"/>
    <n v="3.0133333333333336"/>
    <x v="0"/>
  </r>
  <r>
    <n v="192260"/>
    <x v="30"/>
    <x v="2"/>
    <s v="Staff"/>
    <x v="1"/>
    <x v="1"/>
    <x v="0"/>
    <d v="1988-09-18T00:00:00"/>
    <d v="2020-01-01T00:00:00"/>
    <n v="37"/>
    <x v="0"/>
    <s v="S1"/>
    <n v="3.34"/>
    <n v="4.41"/>
    <n v="2.2999999999999998"/>
    <n v="3.65"/>
    <n v="3.72"/>
    <n v="1.53"/>
    <n v="4.72"/>
    <n v="1.07"/>
    <n v="3.91"/>
    <n v="4.4800000000000004"/>
    <n v="2.1800000000000002"/>
    <n v="1.1399999999999999"/>
    <n v="3.0375000000000001"/>
    <x v="0"/>
  </r>
  <r>
    <n v="199475"/>
    <x v="31"/>
    <x v="0"/>
    <s v="Officer"/>
    <x v="0"/>
    <x v="0"/>
    <x v="0"/>
    <d v="1991-04-19T00:00:00"/>
    <d v="2015-03-30T00:00:00"/>
    <n v="35"/>
    <x v="0"/>
    <s v="S1"/>
    <n v="2.29"/>
    <n v="4.9000000000000004"/>
    <n v="3.77"/>
    <n v="1.51"/>
    <n v="2.96"/>
    <n v="3.94"/>
    <n v="1.42"/>
    <n v="3.73"/>
    <n v="4.9000000000000004"/>
    <n v="3.02"/>
    <n v="1.6"/>
    <n v="1.86"/>
    <n v="2.9916666666666671"/>
    <x v="1"/>
  </r>
  <r>
    <n v="199685"/>
    <x v="32"/>
    <x v="0"/>
    <s v="Staff"/>
    <x v="0"/>
    <x v="1"/>
    <x v="0"/>
    <d v="1990-02-11T00:00:00"/>
    <d v="2020-12-01T00:00:00"/>
    <n v="36"/>
    <x v="0"/>
    <s v="S1"/>
    <n v="4.83"/>
    <n v="4.75"/>
    <n v="2.65"/>
    <n v="4.63"/>
    <n v="2.67"/>
    <n v="2.96"/>
    <n v="4.63"/>
    <n v="1.62"/>
    <n v="3.55"/>
    <n v="1.91"/>
    <n v="2.08"/>
    <n v="3.92"/>
    <n v="3.3499999999999996"/>
    <x v="0"/>
  </r>
  <r>
    <n v="200060"/>
    <x v="33"/>
    <x v="1"/>
    <s v="Support Staff"/>
    <x v="0"/>
    <x v="2"/>
    <x v="1"/>
    <d v="1975-05-12T00:00:00"/>
    <d v="2006-11-01T00:00:00"/>
    <n v="51"/>
    <x v="1"/>
    <s v="SMA"/>
    <n v="4.5999999999999996"/>
    <n v="4.68"/>
    <n v="4.13"/>
    <n v="1.65"/>
    <n v="2.4500000000000002"/>
    <n v="3.7"/>
    <n v="3.93"/>
    <n v="1.53"/>
    <n v="2.63"/>
    <n v="3.39"/>
    <n v="1.35"/>
    <n v="4.17"/>
    <n v="3.1841666666666666"/>
    <x v="0"/>
  </r>
  <r>
    <n v="201438"/>
    <x v="34"/>
    <x v="0"/>
    <s v="Staff"/>
    <x v="0"/>
    <x v="0"/>
    <x v="0"/>
    <d v="1975-03-22T00:00:00"/>
    <d v="2005-03-01T00:00:00"/>
    <n v="51"/>
    <x v="1"/>
    <s v="SMA"/>
    <n v="1.0900000000000001"/>
    <n v="2.3199999999999998"/>
    <n v="3.66"/>
    <n v="2.11"/>
    <n v="2.31"/>
    <n v="3.76"/>
    <n v="2.97"/>
    <n v="4.0599999999999996"/>
    <n v="3.91"/>
    <n v="1.08"/>
    <n v="4.33"/>
    <n v="4.96"/>
    <n v="3.0466666666666664"/>
    <x v="0"/>
  </r>
  <r>
    <n v="202017"/>
    <x v="35"/>
    <x v="0"/>
    <s v="Staff"/>
    <x v="0"/>
    <x v="0"/>
    <x v="1"/>
    <d v="1994-10-19T00:00:00"/>
    <d v="2017-12-01T00:00:00"/>
    <n v="31"/>
    <x v="0"/>
    <s v="S1"/>
    <n v="3.13"/>
    <n v="1.62"/>
    <n v="4.72"/>
    <n v="2.14"/>
    <n v="1.99"/>
    <n v="3.02"/>
    <n v="3.26"/>
    <n v="2.0099999999999998"/>
    <n v="4.75"/>
    <n v="3.58"/>
    <n v="4.9000000000000004"/>
    <n v="3.33"/>
    <n v="3.2041666666666662"/>
    <x v="0"/>
  </r>
  <r>
    <n v="202294"/>
    <x v="36"/>
    <x v="0"/>
    <s v="Staff"/>
    <x v="0"/>
    <x v="0"/>
    <x v="0"/>
    <d v="1975-06-13T00:00:00"/>
    <d v="2005-09-16T00:00:00"/>
    <n v="51"/>
    <x v="1"/>
    <s v="S1"/>
    <n v="2.8"/>
    <n v="1.78"/>
    <n v="4.6900000000000004"/>
    <n v="1.3"/>
    <n v="4.18"/>
    <n v="4.46"/>
    <n v="3.56"/>
    <n v="4.95"/>
    <n v="4.08"/>
    <n v="2.33"/>
    <n v="2.5299999999999998"/>
    <n v="4.1100000000000003"/>
    <n v="3.3974999999999995"/>
    <x v="0"/>
  </r>
  <r>
    <n v="202322"/>
    <x v="37"/>
    <x v="0"/>
    <s v="Officer"/>
    <x v="1"/>
    <x v="0"/>
    <x v="0"/>
    <d v="1975-01-14T00:00:00"/>
    <d v="2004-10-16T00:00:00"/>
    <n v="51"/>
    <x v="1"/>
    <s v="Diploma"/>
    <n v="2.4500000000000002"/>
    <n v="2.2999999999999998"/>
    <n v="1.28"/>
    <n v="4.58"/>
    <n v="4.2699999999999996"/>
    <n v="3.63"/>
    <n v="4.87"/>
    <n v="3.88"/>
    <n v="2.35"/>
    <n v="4.17"/>
    <n v="1.06"/>
    <n v="4.3899999999999997"/>
    <n v="3.269166666666667"/>
    <x v="0"/>
  </r>
  <r>
    <n v="202654"/>
    <x v="38"/>
    <x v="0"/>
    <s v="Officer"/>
    <x v="0"/>
    <x v="1"/>
    <x v="1"/>
    <d v="1995-03-20T00:00:00"/>
    <d v="2021-11-01T00:00:00"/>
    <n v="31"/>
    <x v="0"/>
    <s v="S1"/>
    <n v="3.52"/>
    <n v="3.23"/>
    <n v="1.82"/>
    <n v="1.98"/>
    <n v="4.53"/>
    <n v="2.64"/>
    <n v="2.3199999999999998"/>
    <n v="2.33"/>
    <n v="4.59"/>
    <n v="2.44"/>
    <n v="3.92"/>
    <n v="3.23"/>
    <n v="3.0458333333333338"/>
    <x v="0"/>
  </r>
  <r>
    <n v="208192"/>
    <x v="39"/>
    <x v="0"/>
    <s v="Staff"/>
    <x v="0"/>
    <x v="0"/>
    <x v="1"/>
    <d v="1987-11-15T00:00:00"/>
    <d v="2016-10-01T00:00:00"/>
    <n v="38"/>
    <x v="0"/>
    <s v="S1"/>
    <n v="4.22"/>
    <n v="3.79"/>
    <n v="2.61"/>
    <n v="1.59"/>
    <n v="1.56"/>
    <n v="1.63"/>
    <n v="2.57"/>
    <n v="1.48"/>
    <n v="3.36"/>
    <n v="4.32"/>
    <n v="4.66"/>
    <n v="4.22"/>
    <n v="3.000833333333333"/>
    <x v="0"/>
  </r>
  <r>
    <n v="213858"/>
    <x v="40"/>
    <x v="0"/>
    <s v="Staff"/>
    <x v="0"/>
    <x v="0"/>
    <x v="0"/>
    <d v="1982-09-14T00:00:00"/>
    <d v="2017-10-01T00:00:00"/>
    <n v="43"/>
    <x v="1"/>
    <s v="D3"/>
    <n v="3.91"/>
    <n v="3.3"/>
    <n v="2.58"/>
    <n v="2.2999999999999998"/>
    <n v="3.87"/>
    <n v="1.1200000000000001"/>
    <n v="3.86"/>
    <n v="2.87"/>
    <n v="3.9"/>
    <n v="4.41"/>
    <n v="4.5599999999999996"/>
    <n v="1.63"/>
    <n v="3.1925000000000008"/>
    <x v="0"/>
  </r>
  <r>
    <n v="215154"/>
    <x v="41"/>
    <x v="0"/>
    <s v="Officer"/>
    <x v="0"/>
    <x v="0"/>
    <x v="0"/>
    <d v="1987-10-04T00:00:00"/>
    <d v="2017-12-01T00:00:00"/>
    <n v="38"/>
    <x v="0"/>
    <s v="S1"/>
    <n v="1.66"/>
    <n v="2.61"/>
    <n v="2.66"/>
    <n v="2.71"/>
    <n v="2.73"/>
    <n v="3.37"/>
    <n v="2.5499999999999998"/>
    <n v="3.72"/>
    <n v="4.3899999999999997"/>
    <n v="2.5299999999999998"/>
    <n v="2.2599999999999998"/>
    <n v="4.43"/>
    <n v="2.9683333333333337"/>
    <x v="1"/>
  </r>
  <r>
    <n v="216549"/>
    <x v="42"/>
    <x v="1"/>
    <s v="Officer"/>
    <x v="1"/>
    <x v="0"/>
    <x v="0"/>
    <d v="1974-08-01T00:00:00"/>
    <d v="2004-02-25T00:00:00"/>
    <n v="52"/>
    <x v="1"/>
    <s v="S1"/>
    <n v="2.4300000000000002"/>
    <n v="2.4"/>
    <n v="3.79"/>
    <n v="3.68"/>
    <n v="4.26"/>
    <n v="1.63"/>
    <n v="4.99"/>
    <n v="2.65"/>
    <n v="3.54"/>
    <n v="3.62"/>
    <n v="1.08"/>
    <n v="4.68"/>
    <n v="3.2291666666666661"/>
    <x v="0"/>
  </r>
  <r>
    <n v="221084"/>
    <x v="43"/>
    <x v="0"/>
    <s v="Staff"/>
    <x v="0"/>
    <x v="0"/>
    <x v="1"/>
    <d v="1981-03-27T00:00:00"/>
    <d v="2015-08-10T00:00:00"/>
    <n v="45"/>
    <x v="1"/>
    <s v="S1"/>
    <n v="3.89"/>
    <n v="1.24"/>
    <n v="4.04"/>
    <n v="1.0900000000000001"/>
    <n v="3.62"/>
    <n v="3.15"/>
    <n v="2.13"/>
    <n v="3.98"/>
    <n v="4.7300000000000004"/>
    <n v="3.76"/>
    <n v="2.35"/>
    <n v="4.79"/>
    <n v="3.230833333333333"/>
    <x v="0"/>
  </r>
  <r>
    <n v="228367"/>
    <x v="44"/>
    <x v="0"/>
    <s v="Staff"/>
    <x v="0"/>
    <x v="0"/>
    <x v="0"/>
    <d v="1985-06-03T00:00:00"/>
    <d v="2014-12-01T00:00:00"/>
    <n v="41"/>
    <x v="1"/>
    <s v="S1"/>
    <n v="1.54"/>
    <n v="3.28"/>
    <n v="3.58"/>
    <n v="2.2200000000000002"/>
    <n v="3.11"/>
    <n v="4.91"/>
    <n v="2.15"/>
    <n v="2.71"/>
    <n v="2.5099999999999998"/>
    <n v="4.68"/>
    <n v="4.03"/>
    <n v="1.1200000000000001"/>
    <n v="2.9866666666666664"/>
    <x v="1"/>
  </r>
  <r>
    <n v="234773"/>
    <x v="45"/>
    <x v="0"/>
    <s v="Officer"/>
    <x v="0"/>
    <x v="0"/>
    <x v="1"/>
    <d v="1988-04-05T00:00:00"/>
    <d v="2011-03-14T00:00:00"/>
    <n v="38"/>
    <x v="0"/>
    <s v="S1"/>
    <n v="1.44"/>
    <n v="2.79"/>
    <n v="4.16"/>
    <n v="3.23"/>
    <n v="2.27"/>
    <n v="2.4500000000000002"/>
    <n v="3.91"/>
    <n v="2.27"/>
    <n v="1.2"/>
    <n v="1.07"/>
    <n v="2.31"/>
    <n v="3.73"/>
    <n v="2.5691666666666664"/>
    <x v="1"/>
  </r>
  <r>
    <n v="240026"/>
    <x v="46"/>
    <x v="2"/>
    <s v="Officer"/>
    <x v="0"/>
    <x v="0"/>
    <x v="1"/>
    <d v="1992-11-11T00:00:00"/>
    <d v="2015-02-18T00:00:00"/>
    <n v="33"/>
    <x v="0"/>
    <s v="S1"/>
    <n v="3.55"/>
    <n v="3.63"/>
    <n v="3.91"/>
    <n v="2.93"/>
    <n v="3.18"/>
    <n v="1.04"/>
    <n v="4.91"/>
    <n v="1.63"/>
    <n v="4.41"/>
    <n v="4.9400000000000004"/>
    <n v="2.39"/>
    <n v="1.33"/>
    <n v="3.1541666666666663"/>
    <x v="0"/>
  </r>
  <r>
    <n v="243623"/>
    <x v="47"/>
    <x v="0"/>
    <s v="Staff"/>
    <x v="0"/>
    <x v="1"/>
    <x v="1"/>
    <d v="1990-10-10T00:00:00"/>
    <d v="2020-08-08T00:00:00"/>
    <n v="35"/>
    <x v="0"/>
    <s v="S1"/>
    <n v="2.94"/>
    <n v="3.69"/>
    <n v="4.59"/>
    <n v="4.5999999999999996"/>
    <n v="1.89"/>
    <n v="4.87"/>
    <n v="1.76"/>
    <n v="3.58"/>
    <n v="3.23"/>
    <n v="4.6500000000000004"/>
    <n v="3.89"/>
    <n v="4.8"/>
    <n v="3.7075"/>
    <x v="0"/>
  </r>
  <r>
    <n v="246366"/>
    <x v="48"/>
    <x v="2"/>
    <s v="Staff"/>
    <x v="0"/>
    <x v="0"/>
    <x v="1"/>
    <d v="1990-03-10T00:00:00"/>
    <d v="2017-06-01T00:00:00"/>
    <n v="36"/>
    <x v="0"/>
    <s v="S1"/>
    <n v="2.6"/>
    <n v="1.61"/>
    <n v="2.82"/>
    <n v="4.51"/>
    <n v="1.99"/>
    <n v="1.95"/>
    <n v="4.7300000000000004"/>
    <n v="1.99"/>
    <n v="2.82"/>
    <n v="3.23"/>
    <n v="3.34"/>
    <n v="3.13"/>
    <n v="2.8933333333333331"/>
    <x v="1"/>
  </r>
  <r>
    <n v="247252"/>
    <x v="49"/>
    <x v="0"/>
    <s v="Staff"/>
    <x v="0"/>
    <x v="0"/>
    <x v="1"/>
    <d v="1991-06-07T00:00:00"/>
    <d v="2013-06-07T00:00:00"/>
    <n v="35"/>
    <x v="0"/>
    <s v="D3"/>
    <n v="2.02"/>
    <n v="2.93"/>
    <n v="1.24"/>
    <n v="4.8499999999999996"/>
    <n v="3.88"/>
    <n v="3.47"/>
    <n v="4.3899999999999997"/>
    <n v="3.28"/>
    <n v="3.79"/>
    <n v="4.07"/>
    <n v="2.5"/>
    <n v="2.48"/>
    <n v="3.2416666666666667"/>
    <x v="0"/>
  </r>
  <r>
    <n v="247739"/>
    <x v="50"/>
    <x v="0"/>
    <s v="Staff"/>
    <x v="1"/>
    <x v="1"/>
    <x v="0"/>
    <d v="1999-12-02T00:00:00"/>
    <d v="2023-02-16T00:00:00"/>
    <n v="26"/>
    <x v="0"/>
    <s v="D3"/>
    <m/>
    <n v="2.46"/>
    <n v="2.81"/>
    <n v="4.8600000000000003"/>
    <n v="1.1000000000000001"/>
    <n v="4.53"/>
    <n v="1.76"/>
    <n v="1.1399999999999999"/>
    <n v="3.85"/>
    <n v="4.51"/>
    <n v="3.17"/>
    <n v="4.59"/>
    <n v="3.1618181818181821"/>
    <x v="0"/>
  </r>
  <r>
    <n v="250178"/>
    <x v="51"/>
    <x v="1"/>
    <s v="Staff"/>
    <x v="0"/>
    <x v="0"/>
    <x v="0"/>
    <d v="1993-06-18T00:00:00"/>
    <d v="2017-04-01T00:00:00"/>
    <n v="33"/>
    <x v="0"/>
    <s v="D3"/>
    <n v="1.74"/>
    <n v="4.92"/>
    <n v="2.08"/>
    <n v="3.72"/>
    <n v="1.88"/>
    <n v="1.0900000000000001"/>
    <n v="2.76"/>
    <n v="4.8499999999999996"/>
    <n v="4.41"/>
    <n v="1.72"/>
    <n v="2.86"/>
    <n v="2.65"/>
    <n v="2.89"/>
    <x v="1"/>
  </r>
  <r>
    <n v="252814"/>
    <x v="52"/>
    <x v="0"/>
    <s v="Staff"/>
    <x v="0"/>
    <x v="0"/>
    <x v="1"/>
    <d v="1987-08-13T00:00:00"/>
    <d v="2017-08-16T00:00:00"/>
    <n v="38"/>
    <x v="0"/>
    <s v="D3"/>
    <n v="4.12"/>
    <n v="1.51"/>
    <n v="4.33"/>
    <n v="3.86"/>
    <n v="3.96"/>
    <n v="2.14"/>
    <n v="4.1900000000000004"/>
    <n v="2.25"/>
    <n v="3.44"/>
    <n v="2.34"/>
    <n v="2.31"/>
    <n v="3.89"/>
    <n v="3.1950000000000003"/>
    <x v="0"/>
  </r>
  <r>
    <n v="254140"/>
    <x v="53"/>
    <x v="0"/>
    <s v="Staff"/>
    <x v="0"/>
    <x v="1"/>
    <x v="1"/>
    <d v="1993-07-31T00:00:00"/>
    <d v="2021-12-01T00:00:00"/>
    <n v="33"/>
    <x v="0"/>
    <s v="SMA"/>
    <n v="2.4700000000000002"/>
    <n v="1.52"/>
    <n v="1.8"/>
    <n v="3.1"/>
    <n v="4.9800000000000004"/>
    <n v="4.43"/>
    <n v="4.08"/>
    <n v="3.44"/>
    <n v="4"/>
    <n v="4.45"/>
    <n v="2.38"/>
    <n v="4.01"/>
    <n v="3.3883333333333336"/>
    <x v="0"/>
  </r>
  <r>
    <n v="257907"/>
    <x v="54"/>
    <x v="0"/>
    <s v="Staff"/>
    <x v="0"/>
    <x v="0"/>
    <x v="0"/>
    <d v="1992-08-10T00:00:00"/>
    <d v="2014-11-05T00:00:00"/>
    <n v="34"/>
    <x v="0"/>
    <s v="S1"/>
    <n v="2.57"/>
    <n v="3.34"/>
    <n v="3.1"/>
    <n v="2.66"/>
    <n v="2.15"/>
    <n v="4.32"/>
    <n v="3.04"/>
    <n v="2.77"/>
    <n v="4.82"/>
    <n v="4.3499999999999996"/>
    <n v="1.79"/>
    <n v="4.0199999999999996"/>
    <n v="3.2441666666666662"/>
    <x v="0"/>
  </r>
  <r>
    <n v="262261"/>
    <x v="55"/>
    <x v="1"/>
    <s v="Support Staff"/>
    <x v="1"/>
    <x v="2"/>
    <x v="1"/>
    <d v="1986-02-26T00:00:00"/>
    <d v="2009-10-26T00:00:00"/>
    <n v="40"/>
    <x v="1"/>
    <s v="Diploma"/>
    <n v="1.52"/>
    <n v="1.64"/>
    <n v="4.1900000000000004"/>
    <n v="3.8"/>
    <n v="4.67"/>
    <n v="4.76"/>
    <n v="2"/>
    <n v="2.5499999999999998"/>
    <n v="4.17"/>
    <n v="1.05"/>
    <n v="1.28"/>
    <n v="3.1"/>
    <n v="2.8941666666666666"/>
    <x v="1"/>
  </r>
  <r>
    <n v="263825"/>
    <x v="56"/>
    <x v="0"/>
    <s v="Staff"/>
    <x v="0"/>
    <x v="0"/>
    <x v="1"/>
    <d v="1990-04-09T00:00:00"/>
    <d v="2017-08-01T00:00:00"/>
    <n v="36"/>
    <x v="0"/>
    <s v="S1"/>
    <n v="1.32"/>
    <n v="3.31"/>
    <n v="3.42"/>
    <n v="4.8600000000000003"/>
    <n v="4.0199999999999996"/>
    <n v="2.5499999999999998"/>
    <n v="4.09"/>
    <n v="4.84"/>
    <n v="4.42"/>
    <n v="1.39"/>
    <n v="4.03"/>
    <n v="1.49"/>
    <n v="3.311666666666667"/>
    <x v="0"/>
  </r>
  <r>
    <n v="264056"/>
    <x v="57"/>
    <x v="0"/>
    <s v="Staff"/>
    <x v="1"/>
    <x v="0"/>
    <x v="1"/>
    <d v="1991-12-06T00:00:00"/>
    <d v="2017-07-01T00:00:00"/>
    <n v="34"/>
    <x v="0"/>
    <s v="S1"/>
    <n v="3.27"/>
    <n v="2.72"/>
    <n v="3.1"/>
    <n v="1.93"/>
    <n v="4.32"/>
    <n v="2.91"/>
    <n v="4.38"/>
    <n v="4.6100000000000003"/>
    <n v="2.25"/>
    <n v="4.96"/>
    <n v="1.47"/>
    <n v="4.6900000000000004"/>
    <n v="3.3841666666666659"/>
    <x v="0"/>
  </r>
  <r>
    <n v="265747"/>
    <x v="58"/>
    <x v="1"/>
    <s v="Staff"/>
    <x v="0"/>
    <x v="1"/>
    <x v="0"/>
    <d v="1994-11-14T00:00:00"/>
    <d v="2021-02-12T00:00:00"/>
    <n v="31"/>
    <x v="0"/>
    <s v="S1"/>
    <n v="1.9"/>
    <n v="4.3600000000000003"/>
    <n v="1.91"/>
    <n v="1.02"/>
    <n v="3.86"/>
    <n v="3.09"/>
    <n v="1.79"/>
    <n v="2.79"/>
    <n v="1.05"/>
    <n v="3.61"/>
    <n v="4.12"/>
    <n v="4.1500000000000004"/>
    <n v="2.8041666666666667"/>
    <x v="1"/>
  </r>
  <r>
    <n v="266726"/>
    <x v="59"/>
    <x v="0"/>
    <s v="Staff"/>
    <x v="0"/>
    <x v="0"/>
    <x v="0"/>
    <d v="1989-02-08T00:00:00"/>
    <d v="2018-01-01T00:00:00"/>
    <n v="37"/>
    <x v="0"/>
    <s v="S1"/>
    <n v="1.59"/>
    <n v="3.26"/>
    <n v="2.04"/>
    <n v="4.99"/>
    <n v="1.51"/>
    <n v="4.5999999999999996"/>
    <n v="2.1800000000000002"/>
    <n v="3.83"/>
    <n v="1.41"/>
    <n v="1.3"/>
    <n v="2.04"/>
    <n v="1.3"/>
    <n v="2.5041666666666669"/>
    <x v="1"/>
  </r>
  <r>
    <n v="273855"/>
    <x v="60"/>
    <x v="0"/>
    <s v="Staff"/>
    <x v="1"/>
    <x v="0"/>
    <x v="0"/>
    <d v="1982-12-12T00:00:00"/>
    <d v="2017-07-01T00:00:00"/>
    <n v="43"/>
    <x v="1"/>
    <s v="Diploma"/>
    <n v="3.91"/>
    <n v="4.8099999999999996"/>
    <n v="3.15"/>
    <n v="2.99"/>
    <n v="1.89"/>
    <n v="1.18"/>
    <n v="4.67"/>
    <n v="2.4900000000000002"/>
    <n v="4.51"/>
    <n v="4.66"/>
    <n v="4.53"/>
    <n v="1.45"/>
    <n v="3.3533333333333339"/>
    <x v="0"/>
  </r>
  <r>
    <n v="275704"/>
    <x v="61"/>
    <x v="0"/>
    <s v="Staff"/>
    <x v="0"/>
    <x v="0"/>
    <x v="1"/>
    <d v="1986-09-06T00:00:00"/>
    <d v="2010-06-19T00:00:00"/>
    <n v="39"/>
    <x v="0"/>
    <s v="S1"/>
    <n v="1.73"/>
    <n v="4.08"/>
    <n v="2.44"/>
    <n v="1.26"/>
    <n v="3.5"/>
    <n v="3.37"/>
    <n v="3.98"/>
    <n v="3.28"/>
    <n v="3.96"/>
    <n v="3.75"/>
    <n v="3.33"/>
    <n v="2.79"/>
    <n v="3.1225000000000001"/>
    <x v="0"/>
  </r>
  <r>
    <n v="276416"/>
    <x v="62"/>
    <x v="1"/>
    <s v="Officer"/>
    <x v="0"/>
    <x v="0"/>
    <x v="0"/>
    <d v="1993-04-25T00:00:00"/>
    <d v="2014-04-01T00:00:00"/>
    <n v="33"/>
    <x v="0"/>
    <s v="D3"/>
    <n v="2.02"/>
    <n v="1.17"/>
    <n v="4.16"/>
    <n v="3.9"/>
    <n v="3.27"/>
    <n v="1.22"/>
    <n v="4.16"/>
    <n v="2.36"/>
    <n v="3.15"/>
    <n v="3.23"/>
    <n v="1.32"/>
    <n v="4.3899999999999997"/>
    <n v="2.8624999999999994"/>
    <x v="1"/>
  </r>
  <r>
    <n v="282069"/>
    <x v="63"/>
    <x v="2"/>
    <s v="Staff"/>
    <x v="0"/>
    <x v="1"/>
    <x v="0"/>
    <d v="1991-05-14T00:00:00"/>
    <d v="2020-08-08T00:00:00"/>
    <n v="35"/>
    <x v="0"/>
    <s v="D3"/>
    <n v="2.83"/>
    <n v="1.35"/>
    <n v="1.1499999999999999"/>
    <n v="3.74"/>
    <n v="1.04"/>
    <n v="3.73"/>
    <n v="1.56"/>
    <n v="4.7"/>
    <n v="2.0099999999999998"/>
    <n v="1.67"/>
    <n v="1.52"/>
    <n v="4.91"/>
    <n v="2.5175000000000001"/>
    <x v="1"/>
  </r>
  <r>
    <n v="282653"/>
    <x v="64"/>
    <x v="0"/>
    <s v="Staff"/>
    <x v="0"/>
    <x v="0"/>
    <x v="1"/>
    <d v="2002-08-13T00:00:00"/>
    <d v="2016-04-01T00:00:00"/>
    <n v="23"/>
    <x v="2"/>
    <s v="SMK"/>
    <n v="2.2999999999999998"/>
    <n v="4.0999999999999996"/>
    <n v="3.85"/>
    <n v="2.6"/>
    <n v="3.34"/>
    <n v="4.21"/>
    <n v="1.79"/>
    <n v="4.32"/>
    <n v="2.35"/>
    <n v="4.5199999999999996"/>
    <n v="3.23"/>
    <n v="1.85"/>
    <n v="3.2049999999999996"/>
    <x v="0"/>
  </r>
  <r>
    <n v="286194"/>
    <x v="65"/>
    <x v="0"/>
    <s v="Officer"/>
    <x v="1"/>
    <x v="0"/>
    <x v="1"/>
    <d v="1989-09-01T00:00:00"/>
    <d v="2014-10-22T00:00:00"/>
    <n v="36"/>
    <x v="0"/>
    <s v="S1"/>
    <n v="4.05"/>
    <n v="3.17"/>
    <n v="1.1299999999999999"/>
    <n v="2.4300000000000002"/>
    <n v="3.49"/>
    <n v="3.22"/>
    <n v="2.2799999999999998"/>
    <n v="2.63"/>
    <n v="3.12"/>
    <n v="1.68"/>
    <n v="4.6399999999999997"/>
    <n v="2.4500000000000002"/>
    <n v="2.8574999999999999"/>
    <x v="1"/>
  </r>
  <r>
    <n v="286203"/>
    <x v="66"/>
    <x v="0"/>
    <s v="Staff"/>
    <x v="1"/>
    <x v="0"/>
    <x v="0"/>
    <d v="1989-06-12T00:00:00"/>
    <d v="2017-10-01T00:00:00"/>
    <n v="37"/>
    <x v="0"/>
    <s v="Diploma"/>
    <n v="4.05"/>
    <n v="3.53"/>
    <n v="2.31"/>
    <n v="3.69"/>
    <n v="1.37"/>
    <n v="4.03"/>
    <n v="2.42"/>
    <n v="2.97"/>
    <n v="2.04"/>
    <n v="1.17"/>
    <n v="1.29"/>
    <n v="4.45"/>
    <n v="2.7766666666666668"/>
    <x v="1"/>
  </r>
  <r>
    <n v="286426"/>
    <x v="67"/>
    <x v="0"/>
    <s v="Staff"/>
    <x v="0"/>
    <x v="0"/>
    <x v="0"/>
    <d v="1990-06-23T00:00:00"/>
    <d v="2016-04-01T00:00:00"/>
    <n v="36"/>
    <x v="0"/>
    <s v="S1"/>
    <n v="2.81"/>
    <n v="3.45"/>
    <n v="1.0900000000000001"/>
    <n v="4.46"/>
    <n v="1.89"/>
    <n v="2.2599999999999998"/>
    <n v="2.59"/>
    <n v="4"/>
    <n v="1.62"/>
    <n v="2.5499999999999998"/>
    <n v="4.16"/>
    <n v="2.16"/>
    <n v="2.7533333333333334"/>
    <x v="1"/>
  </r>
  <r>
    <n v="288138"/>
    <x v="68"/>
    <x v="0"/>
    <s v="Staff"/>
    <x v="0"/>
    <x v="0"/>
    <x v="1"/>
    <d v="1989-10-06T00:00:00"/>
    <d v="2013-05-15T00:00:00"/>
    <n v="36"/>
    <x v="0"/>
    <s v="SMA"/>
    <n v="4.63"/>
    <n v="1.1200000000000001"/>
    <n v="4.26"/>
    <n v="4.43"/>
    <n v="3.1"/>
    <n v="2.79"/>
    <n v="3.96"/>
    <n v="2.31"/>
    <n v="4.76"/>
    <n v="2.2200000000000002"/>
    <n v="1.37"/>
    <n v="1.97"/>
    <n v="3.0766666666666662"/>
    <x v="0"/>
  </r>
  <r>
    <n v="288251"/>
    <x v="69"/>
    <x v="0"/>
    <s v="Staff"/>
    <x v="1"/>
    <x v="0"/>
    <x v="0"/>
    <d v="1981-02-03T00:00:00"/>
    <d v="2012-02-13T00:00:00"/>
    <n v="45"/>
    <x v="1"/>
    <s v="Diploma"/>
    <n v="1.1399999999999999"/>
    <n v="2.15"/>
    <n v="2.88"/>
    <n v="1.18"/>
    <n v="2.36"/>
    <n v="3.55"/>
    <n v="3.6"/>
    <n v="2.77"/>
    <n v="2.15"/>
    <n v="2.27"/>
    <n v="4.51"/>
    <n v="2.59"/>
    <n v="2.5958333333333328"/>
    <x v="1"/>
  </r>
  <r>
    <n v="288912"/>
    <x v="70"/>
    <x v="1"/>
    <s v="Staff"/>
    <x v="1"/>
    <x v="0"/>
    <x v="0"/>
    <d v="1986-03-29T00:00:00"/>
    <d v="2012-10-08T00:00:00"/>
    <n v="40"/>
    <x v="1"/>
    <s v="Diploma"/>
    <n v="2"/>
    <n v="2.27"/>
    <n v="4.78"/>
    <n v="4.01"/>
    <n v="4.26"/>
    <n v="1.59"/>
    <n v="1.89"/>
    <n v="1.9"/>
    <n v="4.1399999999999997"/>
    <n v="4.04"/>
    <n v="1.05"/>
    <n v="3.11"/>
    <n v="2.92"/>
    <x v="1"/>
  </r>
  <r>
    <n v="289450"/>
    <x v="71"/>
    <x v="0"/>
    <s v="Staff"/>
    <x v="0"/>
    <x v="0"/>
    <x v="0"/>
    <d v="1992-07-24T00:00:00"/>
    <d v="2017-09-01T00:00:00"/>
    <n v="34"/>
    <x v="0"/>
    <s v="D3"/>
    <n v="4.04"/>
    <n v="4.54"/>
    <n v="3.5"/>
    <n v="4.93"/>
    <n v="1.35"/>
    <n v="4.88"/>
    <n v="3.4"/>
    <n v="2.4700000000000002"/>
    <n v="4.66"/>
    <n v="3.04"/>
    <n v="1.51"/>
    <n v="3.97"/>
    <n v="3.524166666666666"/>
    <x v="0"/>
  </r>
  <r>
    <n v="290701"/>
    <x v="72"/>
    <x v="0"/>
    <s v="Staff"/>
    <x v="0"/>
    <x v="1"/>
    <x v="0"/>
    <d v="1994-10-24T00:00:00"/>
    <d v="2021-04-01T00:00:00"/>
    <n v="31"/>
    <x v="0"/>
    <s v="S1"/>
    <n v="2.74"/>
    <n v="4.47"/>
    <n v="4.83"/>
    <n v="2.13"/>
    <n v="4.3099999999999996"/>
    <n v="4.08"/>
    <n v="4.3499999999999996"/>
    <n v="2.99"/>
    <n v="4.8"/>
    <n v="4.7"/>
    <n v="2.75"/>
    <n v="4.25"/>
    <n v="3.8666666666666667"/>
    <x v="0"/>
  </r>
  <r>
    <n v="290796"/>
    <x v="73"/>
    <x v="0"/>
    <s v="Staff"/>
    <x v="0"/>
    <x v="0"/>
    <x v="0"/>
    <d v="1991-03-16T00:00:00"/>
    <d v="2017-09-01T00:00:00"/>
    <n v="35"/>
    <x v="0"/>
    <s v="S1"/>
    <n v="3.62"/>
    <n v="4.57"/>
    <n v="3.85"/>
    <n v="1.58"/>
    <n v="4.46"/>
    <n v="3.61"/>
    <n v="3.49"/>
    <n v="2.7"/>
    <n v="2.59"/>
    <n v="3.16"/>
    <n v="4.6900000000000004"/>
    <n v="1.75"/>
    <n v="3.339166666666666"/>
    <x v="0"/>
  </r>
  <r>
    <n v="293314"/>
    <x v="74"/>
    <x v="3"/>
    <s v="Senior Manager"/>
    <x v="1"/>
    <x v="0"/>
    <x v="1"/>
    <d v="1981-06-03T00:00:00"/>
    <d v="2001-11-01T00:00:00"/>
    <n v="45"/>
    <x v="1"/>
    <s v="S2"/>
    <n v="1.66"/>
    <n v="3.32"/>
    <n v="3.34"/>
    <n v="2.97"/>
    <n v="2.6"/>
    <n v="2.37"/>
    <n v="3.03"/>
    <n v="3.68"/>
    <n v="4.29"/>
    <n v="4.18"/>
    <n v="1.66"/>
    <n v="3.6"/>
    <n v="3.0583333333333336"/>
    <x v="0"/>
  </r>
  <r>
    <n v="294884"/>
    <x v="75"/>
    <x v="0"/>
    <s v="Staff"/>
    <x v="0"/>
    <x v="0"/>
    <x v="1"/>
    <d v="1994-08-26T00:00:00"/>
    <d v="2017-12-01T00:00:00"/>
    <n v="31"/>
    <x v="0"/>
    <s v="SMK"/>
    <n v="4.66"/>
    <n v="1.45"/>
    <n v="3.35"/>
    <n v="3.03"/>
    <n v="1.81"/>
    <n v="2.91"/>
    <n v="4.43"/>
    <n v="3.58"/>
    <n v="3.42"/>
    <n v="1.44"/>
    <n v="2.64"/>
    <n v="1.6"/>
    <n v="2.86"/>
    <x v="1"/>
  </r>
  <r>
    <n v="295904"/>
    <x v="76"/>
    <x v="0"/>
    <s v="Staff"/>
    <x v="0"/>
    <x v="0"/>
    <x v="1"/>
    <d v="1990-09-29T00:00:00"/>
    <d v="2017-05-01T00:00:00"/>
    <n v="35"/>
    <x v="0"/>
    <s v="S1"/>
    <n v="2.2599999999999998"/>
    <n v="2.48"/>
    <n v="1.81"/>
    <n v="4.7699999999999996"/>
    <n v="2.69"/>
    <n v="3.52"/>
    <n v="4.7699999999999996"/>
    <n v="2.94"/>
    <n v="4.18"/>
    <n v="2.0499999999999998"/>
    <n v="2.4700000000000002"/>
    <n v="2.64"/>
    <n v="3.0483333333333338"/>
    <x v="0"/>
  </r>
  <r>
    <n v="296992"/>
    <x v="77"/>
    <x v="2"/>
    <s v="Officer"/>
    <x v="0"/>
    <x v="0"/>
    <x v="1"/>
    <d v="1980-10-24T00:00:00"/>
    <d v="2004-02-16T00:00:00"/>
    <n v="45"/>
    <x v="1"/>
    <s v="D3"/>
    <n v="4.4000000000000004"/>
    <n v="2.2200000000000002"/>
    <n v="1.96"/>
    <n v="1.62"/>
    <n v="4.32"/>
    <n v="2.08"/>
    <n v="3.01"/>
    <n v="4.1500000000000004"/>
    <n v="4.9800000000000004"/>
    <n v="1.56"/>
    <n v="4.58"/>
    <n v="1.1100000000000001"/>
    <n v="2.9991666666666661"/>
    <x v="1"/>
  </r>
  <r>
    <n v="299723"/>
    <x v="78"/>
    <x v="3"/>
    <s v="Manager"/>
    <x v="0"/>
    <x v="0"/>
    <x v="0"/>
    <d v="1988-03-29T00:00:00"/>
    <d v="2010-08-09T00:00:00"/>
    <n v="38"/>
    <x v="0"/>
    <s v="S1"/>
    <n v="2.71"/>
    <n v="3.15"/>
    <n v="3.44"/>
    <n v="4.0199999999999996"/>
    <n v="1.93"/>
    <n v="2.21"/>
    <n v="2.09"/>
    <n v="1.83"/>
    <n v="1.07"/>
    <n v="2.27"/>
    <n v="4.59"/>
    <n v="1.41"/>
    <n v="2.5599999999999996"/>
    <x v="1"/>
  </r>
  <r>
    <n v="300436"/>
    <x v="79"/>
    <x v="0"/>
    <s v="Staff"/>
    <x v="0"/>
    <x v="1"/>
    <x v="0"/>
    <d v="1995-02-11T00:00:00"/>
    <d v="2021-02-01T00:00:00"/>
    <n v="31"/>
    <x v="0"/>
    <s v="S1"/>
    <n v="4.6399999999999997"/>
    <n v="3.12"/>
    <n v="2.44"/>
    <n v="3.16"/>
    <n v="4.1399999999999997"/>
    <n v="3.22"/>
    <n v="1.44"/>
    <n v="4.6100000000000003"/>
    <n v="1.5"/>
    <n v="4.4000000000000004"/>
    <n v="3.93"/>
    <n v="4.83"/>
    <n v="3.4525000000000001"/>
    <x v="0"/>
  </r>
  <r>
    <n v="306859"/>
    <x v="80"/>
    <x v="0"/>
    <s v="Staff"/>
    <x v="1"/>
    <x v="0"/>
    <x v="0"/>
    <d v="1983-11-16T00:00:00"/>
    <d v="2014-03-24T00:00:00"/>
    <n v="42"/>
    <x v="1"/>
    <s v="Diploma"/>
    <n v="2.38"/>
    <n v="4"/>
    <n v="2.62"/>
    <n v="2.42"/>
    <n v="1.76"/>
    <n v="4.18"/>
    <n v="2.46"/>
    <n v="4.26"/>
    <n v="1.45"/>
    <n v="2.76"/>
    <n v="4.4400000000000004"/>
    <n v="1.27"/>
    <n v="2.8333333333333335"/>
    <x v="1"/>
  </r>
  <r>
    <n v="308659"/>
    <x v="81"/>
    <x v="0"/>
    <s v="Staff"/>
    <x v="0"/>
    <x v="0"/>
    <x v="0"/>
    <d v="1985-02-21T00:00:00"/>
    <d v="2017-03-01T00:00:00"/>
    <n v="41"/>
    <x v="1"/>
    <s v="SMA"/>
    <n v="3.44"/>
    <n v="3.8"/>
    <n v="3.66"/>
    <n v="3.67"/>
    <n v="4.67"/>
    <n v="2.69"/>
    <n v="2.36"/>
    <n v="1.89"/>
    <n v="4.7300000000000004"/>
    <n v="4.04"/>
    <n v="4.17"/>
    <n v="4.7699999999999996"/>
    <n v="3.6575000000000002"/>
    <x v="0"/>
  </r>
  <r>
    <n v="310044"/>
    <x v="82"/>
    <x v="1"/>
    <s v="Staff"/>
    <x v="1"/>
    <x v="1"/>
    <x v="1"/>
    <d v="1994-06-11T00:00:00"/>
    <d v="2022-07-01T00:00:00"/>
    <n v="32"/>
    <x v="0"/>
    <s v="S1"/>
    <n v="2.21"/>
    <n v="4.13"/>
    <n v="4.59"/>
    <n v="2.36"/>
    <n v="4.95"/>
    <n v="3.46"/>
    <n v="2.02"/>
    <n v="2.67"/>
    <n v="1.61"/>
    <n v="1.92"/>
    <n v="3.9"/>
    <n v="4.47"/>
    <n v="3.1908333333333334"/>
    <x v="0"/>
  </r>
  <r>
    <n v="311002"/>
    <x v="83"/>
    <x v="0"/>
    <s v="Staff"/>
    <x v="0"/>
    <x v="1"/>
    <x v="0"/>
    <d v="2002-04-22T00:00:00"/>
    <d v="2023-07-01T00:00:00"/>
    <n v="24"/>
    <x v="2"/>
    <s v="SMA"/>
    <m/>
    <m/>
    <m/>
    <m/>
    <m/>
    <m/>
    <n v="4.5199999999999996"/>
    <n v="4.72"/>
    <n v="4.76"/>
    <n v="2.1"/>
    <n v="4.91"/>
    <n v="3.95"/>
    <n v="4.1599999999999993"/>
    <x v="2"/>
  </r>
  <r>
    <n v="317929"/>
    <x v="84"/>
    <x v="2"/>
    <s v="Staff"/>
    <x v="0"/>
    <x v="0"/>
    <x v="0"/>
    <d v="1992-10-12T00:00:00"/>
    <d v="2017-01-01T00:00:00"/>
    <n v="33"/>
    <x v="0"/>
    <s v="D3"/>
    <n v="3.08"/>
    <n v="2.4500000000000002"/>
    <n v="3.3"/>
    <n v="2.2799999999999998"/>
    <n v="4.72"/>
    <n v="1.59"/>
    <n v="3.29"/>
    <n v="2.67"/>
    <n v="4.55"/>
    <n v="4.41"/>
    <n v="4.9400000000000004"/>
    <n v="3.58"/>
    <n v="3.4049999999999994"/>
    <x v="0"/>
  </r>
  <r>
    <n v="320993"/>
    <x v="85"/>
    <x v="0"/>
    <s v="Staff"/>
    <x v="1"/>
    <x v="0"/>
    <x v="1"/>
    <d v="1993-10-15T00:00:00"/>
    <d v="2017-06-01T00:00:00"/>
    <n v="32"/>
    <x v="0"/>
    <s v="S1"/>
    <n v="4.7699999999999996"/>
    <n v="2.4700000000000002"/>
    <n v="3.6"/>
    <n v="2.72"/>
    <n v="3.6"/>
    <n v="4.1100000000000003"/>
    <n v="4.21"/>
    <n v="3.35"/>
    <n v="3.61"/>
    <n v="2.68"/>
    <n v="1.57"/>
    <n v="3.9"/>
    <n v="3.3825000000000003"/>
    <x v="0"/>
  </r>
  <r>
    <n v="324416"/>
    <x v="86"/>
    <x v="0"/>
    <s v="Staff"/>
    <x v="0"/>
    <x v="0"/>
    <x v="0"/>
    <d v="1991-04-21T00:00:00"/>
    <d v="2013-07-23T00:00:00"/>
    <n v="35"/>
    <x v="0"/>
    <s v="D3"/>
    <n v="4.99"/>
    <n v="2.76"/>
    <n v="3.96"/>
    <n v="3.3"/>
    <n v="2.21"/>
    <n v="4.8499999999999996"/>
    <n v="2.23"/>
    <n v="3.5"/>
    <n v="4.83"/>
    <n v="1.5"/>
    <n v="3.31"/>
    <n v="4.74"/>
    <n v="3.5150000000000006"/>
    <x v="0"/>
  </r>
  <r>
    <n v="334019"/>
    <x v="87"/>
    <x v="0"/>
    <s v="Staff"/>
    <x v="1"/>
    <x v="1"/>
    <x v="0"/>
    <d v="1996-01-10T00:00:00"/>
    <d v="2023-06-01T00:00:00"/>
    <n v="30"/>
    <x v="0"/>
    <s v="S1"/>
    <m/>
    <m/>
    <m/>
    <m/>
    <m/>
    <n v="4.7699999999999996"/>
    <n v="1.18"/>
    <n v="2.56"/>
    <n v="2.4900000000000002"/>
    <n v="4.38"/>
    <n v="4.53"/>
    <n v="1.89"/>
    <n v="3.1142857142857143"/>
    <x v="0"/>
  </r>
  <r>
    <n v="335361"/>
    <x v="88"/>
    <x v="0"/>
    <s v="Staff"/>
    <x v="0"/>
    <x v="1"/>
    <x v="0"/>
    <d v="1991-08-12T00:00:00"/>
    <d v="2020-03-01T00:00:00"/>
    <n v="34"/>
    <x v="0"/>
    <s v="S1"/>
    <n v="4.63"/>
    <n v="4.8600000000000003"/>
    <n v="1.84"/>
    <n v="1.8"/>
    <n v="1.53"/>
    <n v="1.58"/>
    <n v="4.55"/>
    <n v="3.24"/>
    <n v="3.07"/>
    <n v="1.55"/>
    <n v="4.72"/>
    <n v="1.76"/>
    <n v="2.9275000000000002"/>
    <x v="1"/>
  </r>
  <r>
    <n v="336911"/>
    <x v="89"/>
    <x v="0"/>
    <s v="Staff"/>
    <x v="0"/>
    <x v="1"/>
    <x v="0"/>
    <d v="1991-11-06T00:00:00"/>
    <d v="2021-10-01T00:00:00"/>
    <n v="34"/>
    <x v="0"/>
    <s v="S1"/>
    <n v="4.72"/>
    <n v="3.73"/>
    <n v="3.98"/>
    <n v="1.93"/>
    <n v="1.31"/>
    <n v="1.27"/>
    <n v="4.82"/>
    <n v="1.35"/>
    <n v="1.42"/>
    <n v="4.43"/>
    <n v="3.94"/>
    <n v="3.52"/>
    <n v="3.0350000000000001"/>
    <x v="0"/>
  </r>
  <r>
    <n v="336953"/>
    <x v="90"/>
    <x v="3"/>
    <s v="Manager"/>
    <x v="1"/>
    <x v="0"/>
    <x v="0"/>
    <d v="1981-08-12T00:00:00"/>
    <d v="2005-09-01T00:00:00"/>
    <n v="44"/>
    <x v="1"/>
    <s v="S1"/>
    <n v="4.9000000000000004"/>
    <n v="1.36"/>
    <n v="4.4400000000000004"/>
    <n v="4.54"/>
    <n v="2.69"/>
    <n v="4.08"/>
    <n v="1.31"/>
    <n v="1.81"/>
    <n v="3.18"/>
    <n v="2.33"/>
    <n v="1.24"/>
    <n v="4.88"/>
    <n v="3.063333333333333"/>
    <x v="0"/>
  </r>
  <r>
    <n v="345274"/>
    <x v="91"/>
    <x v="0"/>
    <s v="Staff"/>
    <x v="1"/>
    <x v="0"/>
    <x v="1"/>
    <d v="1993-10-17T00:00:00"/>
    <d v="2017-06-01T00:00:00"/>
    <n v="32"/>
    <x v="0"/>
    <s v="S1"/>
    <n v="4.34"/>
    <n v="3.83"/>
    <n v="3.04"/>
    <n v="4.6100000000000003"/>
    <n v="1.38"/>
    <n v="1.97"/>
    <n v="3.9"/>
    <n v="2.8"/>
    <n v="1.38"/>
    <n v="4.1399999999999997"/>
    <n v="1.31"/>
    <n v="3.32"/>
    <n v="3.0016666666666665"/>
    <x v="0"/>
  </r>
  <r>
    <n v="345929"/>
    <x v="92"/>
    <x v="0"/>
    <s v="Staff"/>
    <x v="1"/>
    <x v="0"/>
    <x v="0"/>
    <d v="1980-06-22T00:00:00"/>
    <d v="2008-02-01T00:00:00"/>
    <n v="46"/>
    <x v="1"/>
    <s v="S1"/>
    <n v="1.07"/>
    <n v="2"/>
    <n v="1.05"/>
    <n v="3.97"/>
    <n v="3.68"/>
    <n v="2.36"/>
    <n v="4.38"/>
    <n v="4.59"/>
    <n v="2.8"/>
    <n v="1.7"/>
    <n v="1.39"/>
    <n v="3.91"/>
    <n v="2.7416666666666667"/>
    <x v="1"/>
  </r>
  <r>
    <n v="348338"/>
    <x v="93"/>
    <x v="0"/>
    <s v="Staff"/>
    <x v="0"/>
    <x v="0"/>
    <x v="0"/>
    <d v="1989-03-10T00:00:00"/>
    <d v="2011-03-01T00:00:00"/>
    <n v="37"/>
    <x v="0"/>
    <s v="S1"/>
    <n v="2.16"/>
    <n v="3.08"/>
    <n v="4.01"/>
    <n v="1.46"/>
    <n v="1.84"/>
    <n v="4.6500000000000004"/>
    <n v="3.69"/>
    <n v="1.22"/>
    <n v="4.57"/>
    <n v="2.5099999999999998"/>
    <n v="3.22"/>
    <n v="4.53"/>
    <n v="3.0783333333333336"/>
    <x v="0"/>
  </r>
  <r>
    <n v="353044"/>
    <x v="94"/>
    <x v="0"/>
    <s v="Officer"/>
    <x v="1"/>
    <x v="0"/>
    <x v="0"/>
    <d v="1984-08-31T00:00:00"/>
    <d v="2014-09-01T00:00:00"/>
    <n v="41"/>
    <x v="1"/>
    <s v="S1"/>
    <n v="4.5999999999999996"/>
    <n v="4.0599999999999996"/>
    <n v="1.61"/>
    <n v="1.3"/>
    <n v="1.92"/>
    <n v="4.03"/>
    <n v="2.44"/>
    <n v="3.65"/>
    <n v="4.58"/>
    <n v="1.99"/>
    <n v="1.54"/>
    <n v="3.38"/>
    <n v="2.9249999999999994"/>
    <x v="1"/>
  </r>
  <r>
    <n v="353740"/>
    <x v="95"/>
    <x v="0"/>
    <s v="Staff"/>
    <x v="1"/>
    <x v="0"/>
    <x v="1"/>
    <d v="1990-11-19T00:00:00"/>
    <d v="2014-11-05T00:00:00"/>
    <n v="35"/>
    <x v="0"/>
    <s v="S1"/>
    <n v="3.8"/>
    <n v="1.46"/>
    <n v="2.4300000000000002"/>
    <n v="3.35"/>
    <n v="4.9000000000000004"/>
    <n v="1.31"/>
    <n v="3.11"/>
    <n v="3.8"/>
    <n v="1.35"/>
    <n v="4.72"/>
    <n v="4.76"/>
    <n v="3.33"/>
    <n v="3.1933333333333334"/>
    <x v="0"/>
  </r>
  <r>
    <n v="354075"/>
    <x v="96"/>
    <x v="2"/>
    <s v="Staff"/>
    <x v="0"/>
    <x v="0"/>
    <x v="1"/>
    <d v="1987-05-18T00:00:00"/>
    <d v="2015-02-18T00:00:00"/>
    <n v="39"/>
    <x v="0"/>
    <s v="S1"/>
    <n v="1.71"/>
    <n v="4.7699999999999996"/>
    <n v="1.86"/>
    <n v="1.1399999999999999"/>
    <n v="3.49"/>
    <n v="4.7300000000000004"/>
    <n v="1.67"/>
    <n v="4.57"/>
    <n v="4.07"/>
    <n v="2.58"/>
    <n v="4.01"/>
    <n v="4.67"/>
    <n v="3.2725000000000004"/>
    <x v="0"/>
  </r>
  <r>
    <n v="354350"/>
    <x v="97"/>
    <x v="0"/>
    <s v="Staff"/>
    <x v="0"/>
    <x v="0"/>
    <x v="0"/>
    <d v="1994-01-27T00:00:00"/>
    <d v="2017-04-01T00:00:00"/>
    <n v="32"/>
    <x v="0"/>
    <s v="D3"/>
    <n v="4.28"/>
    <n v="1.18"/>
    <n v="4.78"/>
    <n v="1.85"/>
    <n v="3.48"/>
    <n v="2.3199999999999998"/>
    <n v="2.7"/>
    <n v="2.48"/>
    <n v="4.03"/>
    <n v="4.58"/>
    <n v="3.77"/>
    <n v="1.72"/>
    <n v="3.0975000000000001"/>
    <x v="0"/>
  </r>
  <r>
    <n v="355671"/>
    <x v="98"/>
    <x v="0"/>
    <s v="Staff"/>
    <x v="1"/>
    <x v="0"/>
    <x v="1"/>
    <d v="1988-01-19T00:00:00"/>
    <d v="2015-01-16T00:00:00"/>
    <n v="38"/>
    <x v="0"/>
    <s v="S1"/>
    <n v="3.68"/>
    <n v="3.12"/>
    <n v="3.7"/>
    <n v="1.35"/>
    <n v="4.96"/>
    <n v="3.85"/>
    <n v="1.29"/>
    <n v="4.6500000000000004"/>
    <n v="1.21"/>
    <n v="1.86"/>
    <n v="2.74"/>
    <n v="4.0199999999999996"/>
    <n v="3.035833333333334"/>
    <x v="0"/>
  </r>
  <r>
    <n v="356288"/>
    <x v="99"/>
    <x v="0"/>
    <s v="Staff"/>
    <x v="0"/>
    <x v="0"/>
    <x v="0"/>
    <d v="1993-10-19T00:00:00"/>
    <d v="2017-08-16T00:00:00"/>
    <n v="32"/>
    <x v="0"/>
    <s v="D3"/>
    <n v="2.5299999999999998"/>
    <n v="1.94"/>
    <n v="5"/>
    <n v="1.27"/>
    <n v="2.44"/>
    <n v="3.45"/>
    <n v="1.64"/>
    <n v="3.92"/>
    <n v="1.0900000000000001"/>
    <n v="1.48"/>
    <n v="3.39"/>
    <n v="3.07"/>
    <n v="2.6016666666666666"/>
    <x v="1"/>
  </r>
  <r>
    <n v="363210"/>
    <x v="100"/>
    <x v="2"/>
    <s v="Staff"/>
    <x v="1"/>
    <x v="1"/>
    <x v="0"/>
    <d v="1990-02-03T00:00:00"/>
    <d v="2020-02-01T00:00:00"/>
    <n v="36"/>
    <x v="0"/>
    <s v="SMA"/>
    <n v="1.81"/>
    <n v="2.63"/>
    <n v="3.72"/>
    <n v="3.25"/>
    <n v="1.54"/>
    <n v="2.57"/>
    <n v="1.68"/>
    <n v="3.13"/>
    <n v="3.99"/>
    <n v="4.2"/>
    <n v="3.46"/>
    <n v="1.4"/>
    <n v="2.7816666666666667"/>
    <x v="1"/>
  </r>
  <r>
    <n v="370605"/>
    <x v="101"/>
    <x v="0"/>
    <s v="Staff"/>
    <x v="0"/>
    <x v="1"/>
    <x v="1"/>
    <d v="1993-06-15T00:00:00"/>
    <d v="2021-12-01T00:00:00"/>
    <n v="33"/>
    <x v="0"/>
    <s v="SMK"/>
    <n v="4.16"/>
    <n v="1.84"/>
    <n v="4.5599999999999996"/>
    <n v="4.93"/>
    <n v="3.06"/>
    <n v="4.4800000000000004"/>
    <n v="2.2599999999999998"/>
    <n v="2.61"/>
    <n v="1.74"/>
    <n v="3.57"/>
    <n v="1.1299999999999999"/>
    <n v="2.52"/>
    <n v="3.0716666666666668"/>
    <x v="0"/>
  </r>
  <r>
    <n v="372160"/>
    <x v="102"/>
    <x v="2"/>
    <s v="Staff"/>
    <x v="0"/>
    <x v="1"/>
    <x v="0"/>
    <d v="1993-10-28T00:00:00"/>
    <d v="2021-08-16T00:00:00"/>
    <n v="32"/>
    <x v="0"/>
    <s v="SMA"/>
    <n v="1.67"/>
    <n v="3.28"/>
    <n v="1"/>
    <n v="2.4"/>
    <n v="4.09"/>
    <n v="4.38"/>
    <n v="4.7300000000000004"/>
    <n v="1.53"/>
    <n v="3.92"/>
    <n v="1.25"/>
    <n v="4.03"/>
    <n v="4.21"/>
    <n v="3.0408333333333335"/>
    <x v="0"/>
  </r>
  <r>
    <n v="374548"/>
    <x v="103"/>
    <x v="0"/>
    <s v="Staff"/>
    <x v="1"/>
    <x v="1"/>
    <x v="0"/>
    <d v="1996-02-02T00:00:00"/>
    <d v="2022-01-16T00:00:00"/>
    <n v="30"/>
    <x v="0"/>
    <s v="D3"/>
    <n v="3.76"/>
    <n v="2.48"/>
    <n v="4.4400000000000004"/>
    <n v="2.87"/>
    <n v="2.58"/>
    <n v="1.24"/>
    <n v="3.29"/>
    <n v="4.82"/>
    <n v="3.39"/>
    <n v="1.45"/>
    <n v="4.49"/>
    <n v="3.39"/>
    <n v="3.1833333333333336"/>
    <x v="0"/>
  </r>
  <r>
    <n v="378399"/>
    <x v="104"/>
    <x v="0"/>
    <s v="Staff"/>
    <x v="1"/>
    <x v="0"/>
    <x v="1"/>
    <d v="1987-11-08T00:00:00"/>
    <d v="2013-10-07T00:00:00"/>
    <n v="38"/>
    <x v="0"/>
    <s v="S1"/>
    <n v="1.3"/>
    <n v="3.93"/>
    <n v="2.02"/>
    <n v="3.09"/>
    <n v="4.24"/>
    <n v="1.23"/>
    <n v="2.15"/>
    <n v="4.1500000000000004"/>
    <n v="1.22"/>
    <n v="1.47"/>
    <n v="1.03"/>
    <n v="2.56"/>
    <n v="2.3658333333333332"/>
    <x v="1"/>
  </r>
  <r>
    <n v="385419"/>
    <x v="105"/>
    <x v="0"/>
    <s v="Staff"/>
    <x v="0"/>
    <x v="1"/>
    <x v="0"/>
    <d v="1993-03-31T00:00:00"/>
    <d v="2021-04-01T00:00:00"/>
    <n v="33"/>
    <x v="0"/>
    <s v="D3"/>
    <n v="2.78"/>
    <n v="2.77"/>
    <n v="3.26"/>
    <n v="2.99"/>
    <n v="4.13"/>
    <n v="2.25"/>
    <n v="4.1399999999999997"/>
    <n v="2.29"/>
    <n v="1.63"/>
    <n v="1.53"/>
    <n v="2.75"/>
    <n v="1.1299999999999999"/>
    <n v="2.6374999999999997"/>
    <x v="1"/>
  </r>
  <r>
    <n v="386336"/>
    <x v="106"/>
    <x v="0"/>
    <s v="Staff"/>
    <x v="1"/>
    <x v="0"/>
    <x v="0"/>
    <d v="1988-09-20T00:00:00"/>
    <d v="2014-03-03T00:00:00"/>
    <n v="37"/>
    <x v="0"/>
    <s v="S1"/>
    <n v="4.6399999999999997"/>
    <n v="1.59"/>
    <n v="2.64"/>
    <n v="1.67"/>
    <n v="4.8099999999999996"/>
    <n v="1.8"/>
    <n v="4.3499999999999996"/>
    <n v="1.43"/>
    <n v="2.42"/>
    <n v="3.93"/>
    <n v="2.48"/>
    <n v="2.6"/>
    <n v="2.8633333333333333"/>
    <x v="1"/>
  </r>
  <r>
    <n v="388195"/>
    <x v="107"/>
    <x v="2"/>
    <s v="Staff"/>
    <x v="1"/>
    <x v="1"/>
    <x v="1"/>
    <d v="1995-11-07T00:00:00"/>
    <d v="2021-12-01T00:00:00"/>
    <n v="30"/>
    <x v="0"/>
    <s v="SMA"/>
    <n v="3.04"/>
    <n v="4.8"/>
    <n v="4.4000000000000004"/>
    <n v="1.06"/>
    <n v="4.51"/>
    <n v="4.55"/>
    <n v="1.0900000000000001"/>
    <n v="4.08"/>
    <n v="4.63"/>
    <n v="4.18"/>
    <n v="2.91"/>
    <n v="4.8899999999999997"/>
    <n v="3.6783333333333332"/>
    <x v="0"/>
  </r>
  <r>
    <n v="390140"/>
    <x v="108"/>
    <x v="0"/>
    <s v="Staff"/>
    <x v="1"/>
    <x v="1"/>
    <x v="1"/>
    <d v="1990-01-09T00:00:00"/>
    <d v="2020-04-01T00:00:00"/>
    <n v="36"/>
    <x v="0"/>
    <s v="SMK"/>
    <n v="4.53"/>
    <n v="4.7300000000000004"/>
    <n v="4.13"/>
    <n v="3.63"/>
    <n v="3.03"/>
    <n v="4.66"/>
    <n v="2.2999999999999998"/>
    <n v="1.61"/>
    <n v="4.88"/>
    <n v="3.38"/>
    <n v="4.32"/>
    <n v="4.4800000000000004"/>
    <n v="3.8066666666666671"/>
    <x v="0"/>
  </r>
  <r>
    <n v="393102"/>
    <x v="109"/>
    <x v="0"/>
    <s v="Staff"/>
    <x v="0"/>
    <x v="0"/>
    <x v="0"/>
    <d v="1988-09-16T00:00:00"/>
    <d v="2013-11-18T00:00:00"/>
    <n v="37"/>
    <x v="0"/>
    <s v="S1"/>
    <n v="2.74"/>
    <n v="4.88"/>
    <n v="2.76"/>
    <n v="4.6900000000000004"/>
    <n v="1.1599999999999999"/>
    <n v="3.33"/>
    <n v="3.98"/>
    <n v="2.9"/>
    <n v="4.08"/>
    <n v="2.9"/>
    <n v="4.25"/>
    <n v="2.9"/>
    <n v="3.3808333333333334"/>
    <x v="0"/>
  </r>
  <r>
    <n v="401991"/>
    <x v="110"/>
    <x v="3"/>
    <s v="Manager"/>
    <x v="0"/>
    <x v="0"/>
    <x v="0"/>
    <d v="1970-03-17T00:00:00"/>
    <d v="2001-09-02T00:00:00"/>
    <n v="56"/>
    <x v="3"/>
    <s v="S1"/>
    <n v="1.25"/>
    <n v="2.23"/>
    <n v="2.0099999999999998"/>
    <n v="4.8"/>
    <n v="3.55"/>
    <n v="2.13"/>
    <n v="4.82"/>
    <n v="4.82"/>
    <n v="3.55"/>
    <n v="3.56"/>
    <n v="1.87"/>
    <n v="4.16"/>
    <n v="3.2291666666666665"/>
    <x v="0"/>
  </r>
  <r>
    <n v="404838"/>
    <x v="111"/>
    <x v="0"/>
    <s v="Staff"/>
    <x v="1"/>
    <x v="0"/>
    <x v="1"/>
    <d v="1986-10-05T00:00:00"/>
    <d v="2017-05-01T00:00:00"/>
    <n v="39"/>
    <x v="0"/>
    <s v="S1"/>
    <n v="2.6"/>
    <n v="2.11"/>
    <n v="3.79"/>
    <n v="1.24"/>
    <n v="2.93"/>
    <n v="4.8899999999999997"/>
    <n v="1.97"/>
    <n v="4.63"/>
    <n v="2.23"/>
    <n v="3.05"/>
    <n v="1.37"/>
    <n v="4.74"/>
    <n v="2.9624999999999999"/>
    <x v="1"/>
  </r>
  <r>
    <n v="406392"/>
    <x v="112"/>
    <x v="0"/>
    <s v="Staff"/>
    <x v="0"/>
    <x v="0"/>
    <x v="1"/>
    <d v="1991-07-23T00:00:00"/>
    <d v="2017-05-01T00:00:00"/>
    <n v="35"/>
    <x v="0"/>
    <s v="S1"/>
    <n v="1.63"/>
    <n v="1.97"/>
    <n v="1.58"/>
    <n v="3.62"/>
    <n v="1.77"/>
    <n v="2.33"/>
    <n v="4.95"/>
    <n v="4.9000000000000004"/>
    <n v="4.5199999999999996"/>
    <n v="3"/>
    <n v="1.4"/>
    <n v="2.0099999999999998"/>
    <n v="2.8066666666666666"/>
    <x v="1"/>
  </r>
  <r>
    <n v="407671"/>
    <x v="113"/>
    <x v="0"/>
    <s v="Staff"/>
    <x v="0"/>
    <x v="0"/>
    <x v="0"/>
    <d v="1999-09-10T00:00:00"/>
    <d v="2017-03-01T00:00:00"/>
    <n v="26"/>
    <x v="0"/>
    <s v="SMA"/>
    <n v="2.25"/>
    <n v="1.49"/>
    <n v="1.8"/>
    <n v="1.84"/>
    <n v="2.96"/>
    <n v="2.82"/>
    <n v="2.91"/>
    <n v="4.71"/>
    <n v="1.71"/>
    <n v="3.44"/>
    <n v="3.01"/>
    <n v="4.2"/>
    <n v="2.7616666666666672"/>
    <x v="1"/>
  </r>
  <r>
    <n v="409553"/>
    <x v="114"/>
    <x v="0"/>
    <s v="Staff"/>
    <x v="1"/>
    <x v="0"/>
    <x v="0"/>
    <d v="1985-01-16T00:00:00"/>
    <d v="2010-12-22T00:00:00"/>
    <n v="41"/>
    <x v="1"/>
    <s v="S1"/>
    <n v="3.83"/>
    <n v="3.95"/>
    <n v="2.74"/>
    <n v="4.72"/>
    <n v="2.35"/>
    <n v="2.63"/>
    <n v="4.97"/>
    <n v="1.48"/>
    <n v="1.44"/>
    <n v="1.18"/>
    <n v="3.32"/>
    <n v="1.86"/>
    <n v="2.8725000000000001"/>
    <x v="1"/>
  </r>
  <r>
    <n v="423143"/>
    <x v="115"/>
    <x v="0"/>
    <s v="Officer"/>
    <x v="0"/>
    <x v="0"/>
    <x v="0"/>
    <d v="1986-08-20T00:00:00"/>
    <d v="2012-07-02T00:00:00"/>
    <n v="39"/>
    <x v="0"/>
    <s v="S1"/>
    <n v="4.2300000000000004"/>
    <n v="2.1800000000000002"/>
    <n v="4.51"/>
    <n v="1.02"/>
    <n v="1.49"/>
    <n v="3.62"/>
    <n v="3.21"/>
    <n v="3.73"/>
    <n v="1.82"/>
    <n v="1.19"/>
    <n v="2.14"/>
    <n v="4.5999999999999996"/>
    <n v="2.811666666666667"/>
    <x v="1"/>
  </r>
  <r>
    <n v="425599"/>
    <x v="116"/>
    <x v="0"/>
    <s v="Staff"/>
    <x v="0"/>
    <x v="0"/>
    <x v="1"/>
    <d v="1988-10-26T00:00:00"/>
    <d v="2017-12-01T00:00:00"/>
    <n v="37"/>
    <x v="0"/>
    <s v="S1"/>
    <n v="1.1299999999999999"/>
    <n v="2.92"/>
    <n v="1.89"/>
    <n v="4.34"/>
    <n v="2.5099999999999998"/>
    <n v="4.1900000000000004"/>
    <n v="4.5999999999999996"/>
    <n v="3.66"/>
    <n v="3.41"/>
    <n v="4.6399999999999997"/>
    <n v="4.53"/>
    <n v="3.25"/>
    <n v="3.4224999999999999"/>
    <x v="0"/>
  </r>
  <r>
    <n v="428491"/>
    <x v="117"/>
    <x v="0"/>
    <s v="Staff"/>
    <x v="1"/>
    <x v="1"/>
    <x v="1"/>
    <d v="1985-01-13T00:00:00"/>
    <d v="2019-11-01T00:00:00"/>
    <n v="41"/>
    <x v="1"/>
    <s v="SMA"/>
    <n v="3.43"/>
    <n v="1.84"/>
    <n v="4.59"/>
    <n v="4.0199999999999996"/>
    <n v="1.6"/>
    <n v="4.75"/>
    <n v="3.03"/>
    <n v="2.83"/>
    <n v="2.88"/>
    <n v="1.89"/>
    <n v="3.89"/>
    <n v="1.63"/>
    <n v="3.0316666666666663"/>
    <x v="0"/>
  </r>
  <r>
    <n v="432851"/>
    <x v="118"/>
    <x v="3"/>
    <s v="Senior Manager"/>
    <x v="0"/>
    <x v="0"/>
    <x v="0"/>
    <d v="1979-04-10T00:00:00"/>
    <d v="2001-06-01T00:00:00"/>
    <n v="47"/>
    <x v="1"/>
    <s v="S1"/>
    <n v="3.78"/>
    <n v="1.65"/>
    <n v="3.52"/>
    <n v="3.46"/>
    <n v="3.81"/>
    <n v="1.06"/>
    <n v="4.1900000000000004"/>
    <n v="1.47"/>
    <n v="2.64"/>
    <n v="1.07"/>
    <n v="3.26"/>
    <n v="3.83"/>
    <n v="2.8116666666666661"/>
    <x v="1"/>
  </r>
  <r>
    <n v="438182"/>
    <x v="119"/>
    <x v="0"/>
    <s v="Staff"/>
    <x v="0"/>
    <x v="0"/>
    <x v="0"/>
    <d v="1987-12-30T00:00:00"/>
    <d v="2010-04-12T00:00:00"/>
    <n v="38"/>
    <x v="0"/>
    <s v="S1"/>
    <n v="2.58"/>
    <n v="2.63"/>
    <n v="3.62"/>
    <n v="2.0499999999999998"/>
    <n v="3.04"/>
    <n v="2.5099999999999998"/>
    <n v="1.73"/>
    <n v="2.2599999999999998"/>
    <n v="2.02"/>
    <n v="1.19"/>
    <n v="2.75"/>
    <n v="3.77"/>
    <n v="2.5125000000000002"/>
    <x v="1"/>
  </r>
  <r>
    <n v="441258"/>
    <x v="120"/>
    <x v="0"/>
    <s v="Staff"/>
    <x v="0"/>
    <x v="0"/>
    <x v="1"/>
    <d v="1983-01-07T00:00:00"/>
    <d v="2011-12-19T00:00:00"/>
    <n v="43"/>
    <x v="1"/>
    <s v="S1"/>
    <n v="2.35"/>
    <n v="4.01"/>
    <n v="1.27"/>
    <n v="2.59"/>
    <n v="2.85"/>
    <n v="2.7"/>
    <n v="3.73"/>
    <n v="2.19"/>
    <n v="4.01"/>
    <n v="2.2000000000000002"/>
    <n v="3.5"/>
    <n v="1.6"/>
    <n v="2.75"/>
    <x v="1"/>
  </r>
  <r>
    <n v="443057"/>
    <x v="121"/>
    <x v="0"/>
    <s v="Staff"/>
    <x v="0"/>
    <x v="0"/>
    <x v="1"/>
    <d v="1990-10-30T00:00:00"/>
    <d v="2017-08-16T00:00:00"/>
    <n v="35"/>
    <x v="0"/>
    <s v="D3"/>
    <n v="3.5"/>
    <n v="3.94"/>
    <n v="4.5599999999999996"/>
    <n v="2.23"/>
    <n v="3.25"/>
    <n v="3.5"/>
    <n v="3.55"/>
    <n v="2.89"/>
    <n v="3.51"/>
    <n v="2.75"/>
    <n v="4.2699999999999996"/>
    <n v="3.19"/>
    <n v="3.42833333333333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8854D-4D87-4CC4-BEFC-D1B52943C5C1}" name="PivotTable1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8">
  <location ref="N11:O14" firstHeaderRow="1" firstDataRow="1" firstDataCol="1"/>
  <pivotFields count="26">
    <pivotField showAll="0"/>
    <pivotField dataField="1" showAll="0"/>
    <pivotField showAll="0">
      <items count="5">
        <item x="2"/>
        <item h="1" x="0"/>
        <item h="1" x="3"/>
        <item h="1" x="1"/>
        <item t="default"/>
      </items>
    </pivotField>
    <pivotField showAll="0"/>
    <pivotField showAll="0">
      <items count="3">
        <item x="1"/>
        <item x="0"/>
        <item t="default"/>
      </items>
    </pivotField>
    <pivotField showAll="0"/>
    <pivotField showAll="0">
      <items count="3">
        <item x="1"/>
        <item x="0"/>
        <item t="default"/>
      </items>
    </pivotField>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Row" showAll="0">
      <items count="4">
        <item x="2"/>
        <item x="1"/>
        <item x="0"/>
        <item t="default"/>
      </items>
    </pivotField>
  </pivotFields>
  <rowFields count="1">
    <field x="25"/>
  </rowFields>
  <rowItems count="3">
    <i>
      <x v="1"/>
    </i>
    <i>
      <x v="2"/>
    </i>
    <i t="grand">
      <x/>
    </i>
  </rowItems>
  <colItems count="1">
    <i/>
  </colItems>
  <dataFields count="1">
    <dataField name="Jumlah Karyawan" fld="1" subtotal="count" baseField="0" baseItem="0"/>
  </dataFields>
  <chartFormats count="8">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5" count="1" selected="0">
            <x v="0"/>
          </reference>
        </references>
      </pivotArea>
    </chartFormat>
    <chartFormat chart="6" format="12">
      <pivotArea type="data" outline="0" fieldPosition="0">
        <references count="2">
          <reference field="4294967294" count="1" selected="0">
            <x v="0"/>
          </reference>
          <reference field="25" count="1" selected="0">
            <x v="1"/>
          </reference>
        </references>
      </pivotArea>
    </chartFormat>
    <chartFormat chart="6" format="13">
      <pivotArea type="data" outline="0" fieldPosition="0">
        <references count="2">
          <reference field="4294967294" count="1" selected="0">
            <x v="0"/>
          </reference>
          <reference field="25"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5" count="1" selected="0">
            <x v="0"/>
          </reference>
        </references>
      </pivotArea>
    </chartFormat>
    <chartFormat chart="7" format="12">
      <pivotArea type="data" outline="0" fieldPosition="0">
        <references count="2">
          <reference field="4294967294" count="1" selected="0">
            <x v="0"/>
          </reference>
          <reference field="25" count="1" selected="0">
            <x v="1"/>
          </reference>
        </references>
      </pivotArea>
    </chartFormat>
    <chartFormat chart="7" format="13">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11A0F-3CCE-4C3C-9D87-76C16D56FBDE}" name="PivotTable1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8">
  <location ref="J11:K16" firstHeaderRow="1" firstDataRow="1" firstDataCol="1"/>
  <pivotFields count="26">
    <pivotField showAll="0"/>
    <pivotField dataField="1" showAll="0"/>
    <pivotField showAll="0"/>
    <pivotField showAll="0"/>
    <pivotField showAll="0">
      <items count="3">
        <item x="1"/>
        <item x="0"/>
        <item t="default"/>
      </items>
    </pivotField>
    <pivotField showAll="0"/>
    <pivotField showAll="0">
      <items count="3">
        <item x="1"/>
        <item x="0"/>
        <item t="default"/>
      </items>
    </pivotField>
    <pivotField numFmtId="164" showAll="0"/>
    <pivotField numFmtId="164" showAll="0"/>
    <pivotField numFmtId="1"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10"/>
  </rowFields>
  <rowItems count="5">
    <i>
      <x/>
    </i>
    <i>
      <x v="1"/>
    </i>
    <i>
      <x v="2"/>
    </i>
    <i>
      <x v="3"/>
    </i>
    <i t="grand">
      <x/>
    </i>
  </rowItems>
  <colItems count="1">
    <i/>
  </colItems>
  <dataFields count="1">
    <dataField name="Jumlah Karyawan" fld="1" subtotal="count" baseField="0" baseItem="0"/>
  </dataFields>
  <chartFormats count="2">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1984B8-9B6C-4BB5-AD16-38E6AEEF88E0}" name="PivotTable10"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7">
  <location ref="F11:G14" firstHeaderRow="1" firstDataRow="1" firstDataCol="1"/>
  <pivotFields count="26">
    <pivotField showAll="0"/>
    <pivotField dataField="1" showAll="0"/>
    <pivotField showAll="0"/>
    <pivotField showAll="0"/>
    <pivotField showAll="0">
      <items count="3">
        <item x="1"/>
        <item x="0"/>
        <item t="default"/>
      </items>
    </pivotField>
    <pivotField showAll="0"/>
    <pivotField axis="axisRow" showAll="0">
      <items count="3">
        <item x="1"/>
        <item x="0"/>
        <item t="default"/>
      </items>
    </pivotField>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6"/>
  </rowFields>
  <rowItems count="3">
    <i>
      <x/>
    </i>
    <i>
      <x v="1"/>
    </i>
    <i t="grand">
      <x/>
    </i>
  </rowItems>
  <colItems count="1">
    <i/>
  </colItems>
  <dataFields count="1">
    <dataField name="Jumlah Karyawan" fld="1" subtotal="count" baseField="0" baseItem="0"/>
  </dataFields>
  <chartFormats count="6">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43E47C-C50C-4F82-AA38-670432D5838A}" name="PivotTable8"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1">
  <location ref="B11:C15" firstHeaderRow="1" firstDataRow="1" firstDataCol="1"/>
  <pivotFields count="26">
    <pivotField showAll="0"/>
    <pivotField dataField="1" showAll="0"/>
    <pivotField showAll="0"/>
    <pivotField showAll="0"/>
    <pivotField showAll="0">
      <items count="3">
        <item x="1"/>
        <item x="0"/>
        <item t="default"/>
      </items>
    </pivotField>
    <pivotField axis="axisRow" showAll="0">
      <items count="4">
        <item x="1"/>
        <item x="2"/>
        <item x="0"/>
        <item t="default"/>
      </items>
    </pivotField>
    <pivotField showAll="0"/>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Fields count="1">
    <field x="5"/>
  </rowFields>
  <rowItems count="4">
    <i>
      <x/>
    </i>
    <i>
      <x v="1"/>
    </i>
    <i>
      <x v="2"/>
    </i>
    <i t="grand">
      <x/>
    </i>
  </rowItems>
  <colItems count="1">
    <i/>
  </colItems>
  <dataFields count="1">
    <dataField name="Jumlah Karyawan" fld="1" subtotal="count" baseField="0" baseItem="0"/>
  </dataFields>
  <chartFormats count="8">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pivotArea type="data" outline="0" fieldPosition="0">
        <references count="2">
          <reference field="4294967294" count="1" selected="0">
            <x v="0"/>
          </reference>
          <reference field="5" count="1" selected="0">
            <x v="1"/>
          </reference>
        </references>
      </pivotArea>
    </chartFormat>
    <chartFormat chart="9" format="9">
      <pivotArea type="data" outline="0" fieldPosition="0">
        <references count="2">
          <reference field="4294967294" count="1" selected="0">
            <x v="0"/>
          </reference>
          <reference field="5"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 chart="10"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02DDF9-006B-4B39-8057-ADA0DAF9A821}" name="PivotTable6"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B3:B4" firstHeaderRow="1" firstDataRow="1" firstDataCol="0"/>
  <pivotFields count="26">
    <pivotField showAll="0"/>
    <pivotField dataField="1" showAll="0"/>
    <pivotField showAll="0"/>
    <pivotField showAll="0"/>
    <pivotField showAll="0">
      <items count="3">
        <item x="1"/>
        <item x="0"/>
        <item t="default"/>
      </items>
    </pivotField>
    <pivotField showAll="0"/>
    <pivotField showAll="0"/>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s>
  <rowItems count="1">
    <i/>
  </rowItems>
  <colItems count="1">
    <i/>
  </colItems>
  <dataFields count="1">
    <dataField name="Jumlah Karyawa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F35DF-C3DA-41E5-AC45-86BA463F11A2}" name="PivotTable13" cacheId="0" applyNumberFormats="0" applyBorderFormats="0" applyFontFormats="0" applyPatternFormats="0" applyAlignmentFormats="0" applyWidthHeightFormats="1" dataCaption="Values" updatedVersion="6" minRefreshableVersion="3" rowGrandTotals="0" colGrandTotals="0" itemPrintTitles="1" createdVersion="6" indent="0" compact="0" compactData="0" multipleFieldFilters="0">
  <location ref="R11:T24" firstHeaderRow="1" firstDataRow="1" firstDataCol="2"/>
  <pivotFields count="26">
    <pivotField compact="0" outline="0" showAll="0" defaultSubtotal="0"/>
    <pivotField axis="axisRow" compact="0" outline="0" showAll="0" sortType="ascending" defaultSubtotal="0">
      <items count="122">
        <item x="108"/>
        <item x="82"/>
        <item x="0"/>
        <item x="96"/>
        <item x="38"/>
        <item x="20"/>
        <item x="83"/>
        <item x="111"/>
        <item x="84"/>
        <item x="91"/>
        <item x="12"/>
        <item x="88"/>
        <item x="2"/>
        <item x="32"/>
        <item x="94"/>
        <item x="86"/>
        <item x="64"/>
        <item x="29"/>
        <item x="112"/>
        <item x="34"/>
        <item x="119"/>
        <item x="85"/>
        <item x="18"/>
        <item x="116"/>
        <item x="66"/>
        <item x="30"/>
        <item x="41"/>
        <item x="9"/>
        <item x="75"/>
        <item x="95"/>
        <item x="57"/>
        <item x="61"/>
        <item x="101"/>
        <item x="113"/>
        <item x="43"/>
        <item x="39"/>
        <item x="58"/>
        <item x="44"/>
        <item x="19"/>
        <item x="53"/>
        <item x="54"/>
        <item x="107"/>
        <item x="104"/>
        <item x="114"/>
        <item x="81"/>
        <item x="46"/>
        <item x="98"/>
        <item x="31"/>
        <item x="100"/>
        <item x="40"/>
        <item x="27"/>
        <item x="110"/>
        <item x="120"/>
        <item x="21"/>
        <item x="67"/>
        <item x="105"/>
        <item x="52"/>
        <item x="117"/>
        <item x="22"/>
        <item x="69"/>
        <item x="50"/>
        <item x="109"/>
        <item x="51"/>
        <item x="97"/>
        <item x="42"/>
        <item x="33"/>
        <item x="79"/>
        <item x="80"/>
        <item x="62"/>
        <item x="115"/>
        <item x="1"/>
        <item x="35"/>
        <item x="121"/>
        <item x="4"/>
        <item x="3"/>
        <item x="15"/>
        <item x="56"/>
        <item x="63"/>
        <item x="36"/>
        <item x="92"/>
        <item x="90"/>
        <item x="24"/>
        <item x="5"/>
        <item x="7"/>
        <item x="10"/>
        <item x="77"/>
        <item x="11"/>
        <item x="45"/>
        <item x="37"/>
        <item x="13"/>
        <item x="14"/>
        <item x="74"/>
        <item x="71"/>
        <item x="118"/>
        <item x="49"/>
        <item x="8"/>
        <item x="55"/>
        <item x="99"/>
        <item x="60"/>
        <item x="48"/>
        <item x="47"/>
        <item x="68"/>
        <item x="26"/>
        <item x="76"/>
        <item x="23"/>
        <item x="73"/>
        <item x="78"/>
        <item x="28"/>
        <item x="72"/>
        <item x="103"/>
        <item x="17"/>
        <item x="6"/>
        <item x="89"/>
        <item x="65"/>
        <item x="106"/>
        <item x="93"/>
        <item x="87"/>
        <item x="59"/>
        <item x="70"/>
        <item x="16"/>
        <item x="102"/>
        <item x="25"/>
      </items>
      <autoSortScope>
        <pivotArea dataOnly="0" outline="0" fieldPosition="0">
          <references count="1">
            <reference field="4294967294" count="1" selected="0">
              <x v="0"/>
            </reference>
          </references>
        </pivotArea>
      </autoSortScope>
    </pivotField>
    <pivotField compact="0" outline="0" showAll="0" defaultSubtotal="0">
      <items count="4">
        <item x="2"/>
        <item h="1" x="0"/>
        <item h="1" x="3"/>
        <item h="1" x="1"/>
      </items>
    </pivotField>
    <pivotField compact="0" outline="0" showAll="0" defaultSubtotal="0"/>
    <pivotField axis="axisRow" compact="0" outline="0" showAll="0" defaultSubtotal="0">
      <items count="2">
        <item x="1"/>
        <item x="0"/>
      </items>
    </pivotField>
    <pivotField compact="0" outline="0" showAll="0" defaultSubtotal="0"/>
    <pivotField compact="0" outline="0" showAll="0" defaultSubtotal="0">
      <items count="2">
        <item x="1"/>
        <item x="0"/>
      </items>
    </pivotField>
    <pivotField compact="0" numFmtId="164" outline="0" showAll="0" defaultSubtotal="0"/>
    <pivotField compact="0" numFmtId="164"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2" outline="0" showAll="0" defaultSubtotal="0"/>
    <pivotField compact="0" outline="0" showAll="0" defaultSubtotal="0">
      <items count="3">
        <item x="2"/>
        <item x="1"/>
        <item x="0"/>
      </items>
    </pivotField>
  </pivotFields>
  <rowFields count="2">
    <field x="1"/>
    <field x="4"/>
  </rowFields>
  <rowItems count="13">
    <i>
      <x v="53"/>
      <x v="1"/>
    </i>
    <i>
      <x v="77"/>
      <x v="1"/>
    </i>
    <i>
      <x v="48"/>
      <x/>
    </i>
    <i>
      <x v="99"/>
      <x v="1"/>
    </i>
    <i>
      <x v="85"/>
      <x v="1"/>
    </i>
    <i>
      <x v="25"/>
      <x/>
    </i>
    <i>
      <x v="120"/>
      <x v="1"/>
    </i>
    <i>
      <x v="119"/>
      <x v="1"/>
    </i>
    <i>
      <x v="45"/>
      <x v="1"/>
    </i>
    <i>
      <x v="3"/>
      <x v="1"/>
    </i>
    <i>
      <x v="8"/>
      <x v="1"/>
    </i>
    <i>
      <x v="83"/>
      <x v="1"/>
    </i>
    <i>
      <x v="41"/>
      <x/>
    </i>
  </rowItems>
  <colItems count="1">
    <i/>
  </colItems>
  <dataFields count="1">
    <dataField name="Sum of Average" fld="24" baseField="0"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ang" xr10:uid="{3B73846B-9681-4233-AD16-0180535F8425}" sourceName="Cabang">
  <pivotTables>
    <pivotTable tabId="3" name="PivotTable6"/>
    <pivotTable tabId="3" name="PivotTable8"/>
    <pivotTable tabId="3" name="PivotTable10"/>
    <pivotTable tabId="3" name="PivotTable11"/>
    <pivotTable tabId="3" name="PivotTable12"/>
    <pivotTable tabId="3" name="PivotTable13"/>
  </pivotTables>
  <data>
    <tabular pivotCacheId="179392608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 xr10:uid="{9063A75D-24DF-412E-BCDD-91FBDB98594E}" sourceName="Divisi">
  <pivotTables>
    <pivotTable tabId="3" name="PivotTable12"/>
    <pivotTable tabId="3" name="PivotTable13"/>
  </pivotTables>
  <data>
    <tabular pivotCacheId="1793926085">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1" xr10:uid="{9BFCA985-E888-4FB0-B86A-28C652D11004}" cache="Slicer_Cabang" caption="Cabang" columnCount="2" rowHeight="241300"/>
  <slicer name="Divisi 1" xr10:uid="{F1D334F7-5E80-41DB-9568-040957380854}" cache="Slicer_Divisi" caption="Divis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xr10:uid="{8C54457B-8149-4DBC-B975-94377CBE64EF}" cache="Slicer_Cabang" caption="Cabang" rowHeight="241300"/>
  <slicer name="Divisi" xr10:uid="{27FD2EAB-94DB-43EB-AB2D-A95A439C37E4}" cache="Slicer_Divisi" caption="Divis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A6E0FA-059D-4FC6-9C5A-061BF34E9A52}" name="Table2" displayName="Table2" ref="A1:Z123" totalsRowShown="0">
  <autoFilter ref="A1:Z123" xr:uid="{AC8EDC8D-4D9E-44C8-85F9-2032F537BBF2}"/>
  <tableColumns count="26">
    <tableColumn id="1" xr3:uid="{6F36B58C-AA48-4067-B0A5-ACA34FAD3873}" name="NIP"/>
    <tableColumn id="2" xr3:uid="{72132BBB-0F11-4E14-B285-94B0421B5AFB}" name="Nama Pegawai"/>
    <tableColumn id="3" xr3:uid="{195F626B-6A34-4517-B286-B64D5AB54957}" name="Divisi"/>
    <tableColumn id="4" xr3:uid="{B1238276-BCCF-4CAF-9755-40A2957211F7}" name="Level"/>
    <tableColumn id="5" xr3:uid="{E58DCC46-8DC1-4FDF-83D3-A3E797DB7AD9}" name="Cabang"/>
    <tableColumn id="6" xr3:uid="{BE7364EC-B674-4AD6-9C67-0C2CBBE489E1}" name="Status"/>
    <tableColumn id="7" xr3:uid="{521E2A19-FEED-4054-9366-7B69F4AFFCF1}" name="Jenis Kelamin"/>
    <tableColumn id="8" xr3:uid="{CCD461C8-658E-4FAB-877A-EDCDBBD01C79}" name="Tanggal Lahir" dataDxfId="13"/>
    <tableColumn id="9" xr3:uid="{45478AFF-50FF-402C-B1DF-91097EFFBF76}" name="Mulai Kerja" dataDxfId="12"/>
    <tableColumn id="24" xr3:uid="{8C9F2C94-B257-400F-B502-E9457E6E23CF}" name="Usia" dataDxfId="11">
      <calculatedColumnFormula>DATEDIF(Table2[[#This Row],[Tanggal Lahir]],NOW(),"Y")</calculatedColumnFormula>
    </tableColumn>
    <tableColumn id="23" xr3:uid="{C0852B2F-05CD-4C24-9D33-E7670B56F8D0}" name="Generasi Kerja" dataDxfId="10">
      <calculatedColumnFormula>IF(Table2[[#This Row],[Usia]]&lt;25,"Gen Z",IF(Table2[[#This Row],[Usia]]&lt;40,"Gen Y",IF(Table2[[#This Row],[Usia]]&lt;56,"Gen X",IF(Table2[[#This Row],[Usia]]&gt;=56,"Baby Boomer"))))</calculatedColumnFormula>
    </tableColumn>
    <tableColumn id="10" xr3:uid="{321589B6-0BD8-47B6-A476-64D4F781B81D}" name="Pendidikan"/>
    <tableColumn id="11" xr3:uid="{50965F80-ED23-462F-890D-396FFC6ED54D}" name="Jan"/>
    <tableColumn id="12" xr3:uid="{9426F0C3-C800-482E-8944-C6B6B12ADC3E}" name="Feb"/>
    <tableColumn id="13" xr3:uid="{2876BBBC-F1E9-4C19-8FA7-3089D5DD15B6}" name="Mar"/>
    <tableColumn id="14" xr3:uid="{886AF3BD-FB54-407D-B2CF-4B927489406C}" name="Apr"/>
    <tableColumn id="15" xr3:uid="{0A4FE4F6-70BD-467A-98D5-78EA2E7C97AF}" name="May"/>
    <tableColumn id="16" xr3:uid="{96EAE9D4-7E47-40CC-BE1A-A3FD78526885}" name="Jun"/>
    <tableColumn id="17" xr3:uid="{FD28536E-1BE9-43DD-AB67-42C58773B71B}" name="Jul"/>
    <tableColumn id="18" xr3:uid="{BB48CC66-47DA-4AB5-A1B1-F467FA18CD0D}" name="Aug"/>
    <tableColumn id="19" xr3:uid="{D705090C-6027-49FC-AD1E-A737E4AD3998}" name="Sep"/>
    <tableColumn id="20" xr3:uid="{F4E8DAA0-74FC-4BFF-A19A-B538404453D9}" name="Oct"/>
    <tableColumn id="21" xr3:uid="{D868A0EF-F6FD-4B6C-992D-E1C61C9FFD7A}" name="Nov"/>
    <tableColumn id="22" xr3:uid="{2F7E4756-631A-467F-B5E1-896E07841050}" name="Dec"/>
    <tableColumn id="25" xr3:uid="{A01B5E19-BB04-4713-A016-F23A5C9C7986}" name="Average" dataDxfId="9">
      <calculatedColumnFormula>AVERAGE(Table2[[#This Row],[Jan]:[Dec]])</calculatedColumnFormula>
    </tableColumn>
    <tableColumn id="26" xr3:uid="{9D316E32-9A8B-4D55-BCAC-36445B6CDDE6}" name="Kinerja" dataDxfId="8">
      <calculatedColumnFormula>IF(Table2[[#This Row],[Average]]&lt;3,"Low",IF(Table2[[#This Row],[Average]]&lt;=4,"Med",IF(Table2[[#This Row],[Average]]&gt;4,"High")))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A114A-4A63-4495-9DD4-04581C0C4C13}">
  <dimension ref="I6:N33"/>
  <sheetViews>
    <sheetView showGridLines="0" tabSelected="1" topLeftCell="A5" zoomScale="83" workbookViewId="0">
      <selection activeCell="P13" sqref="P13"/>
    </sheetView>
  </sheetViews>
  <sheetFormatPr defaultRowHeight="15" x14ac:dyDescent="0.25"/>
  <cols>
    <col min="14" max="14" width="11.7109375" bestFit="1" customWidth="1"/>
  </cols>
  <sheetData>
    <row r="6" spans="12:14" x14ac:dyDescent="0.25">
      <c r="L6" t="s">
        <v>182</v>
      </c>
      <c r="N6" s="16">
        <f ca="1">NOW()</f>
        <v>46245.855537962962</v>
      </c>
    </row>
    <row r="20" spans="9:14" x14ac:dyDescent="0.25">
      <c r="I20" s="8" t="s">
        <v>180</v>
      </c>
      <c r="J20" s="9" t="s">
        <v>1</v>
      </c>
      <c r="K20" s="9"/>
      <c r="L20" s="10" t="s">
        <v>4</v>
      </c>
      <c r="M20" s="11"/>
      <c r="N20" s="12" t="s">
        <v>181</v>
      </c>
    </row>
    <row r="21" spans="9:14" x14ac:dyDescent="0.25">
      <c r="I21" s="13">
        <f>IF(J21&lt;&gt;"",1,"")</f>
        <v>1</v>
      </c>
      <c r="J21" s="7" t="str">
        <f>IF(Sheet2!R12&lt;&gt;"",Sheet2!R12,"")</f>
        <v>Iman</v>
      </c>
      <c r="K21" s="7"/>
      <c r="L21" s="14" t="str">
        <f>IF(Sheet2!S12&lt;&gt;"",Sheet2!S12,"")</f>
        <v>Jakarta</v>
      </c>
      <c r="M21" s="7"/>
      <c r="N21" s="15">
        <f>IF(Sheet2!T12&lt;&gt;"",Sheet2!T12,"")</f>
        <v>2.1558333333333333</v>
      </c>
    </row>
    <row r="22" spans="9:14" x14ac:dyDescent="0.25">
      <c r="I22" s="13">
        <f>IF(J22&lt;&gt;"",I21+1,"")</f>
        <v>2</v>
      </c>
      <c r="J22" s="7" t="str">
        <f>IF(Sheet2!R13&lt;&gt;"",Sheet2!R13,"")</f>
        <v>Muni Ledia Astuti</v>
      </c>
      <c r="K22" s="7"/>
      <c r="L22" s="14" t="str">
        <f>IF(Sheet2!S13&lt;&gt;"",Sheet2!S13,"")</f>
        <v>Jakarta</v>
      </c>
      <c r="M22" s="7"/>
      <c r="N22" s="15">
        <f>IF(Sheet2!T13&lt;&gt;"",Sheet2!T13,"")</f>
        <v>2.5175000000000001</v>
      </c>
    </row>
    <row r="23" spans="9:14" x14ac:dyDescent="0.25">
      <c r="I23" s="13">
        <f t="shared" ref="I23:I33" si="0">IF(J23&lt;&gt;"",I22+1,"")</f>
        <v>3</v>
      </c>
      <c r="J23" s="7" t="str">
        <f>IF(Sheet2!R14&lt;&gt;"",Sheet2!R14,"")</f>
        <v>Hanasira Afifa</v>
      </c>
      <c r="K23" s="7"/>
      <c r="L23" s="14" t="str">
        <f>IF(Sheet2!S14&lt;&gt;"",Sheet2!S14,"")</f>
        <v>Bandung</v>
      </c>
      <c r="M23" s="7"/>
      <c r="N23" s="15">
        <f>IF(Sheet2!T14&lt;&gt;"",Sheet2!T14,"")</f>
        <v>2.7816666666666667</v>
      </c>
    </row>
    <row r="24" spans="9:14" x14ac:dyDescent="0.25">
      <c r="I24" s="13">
        <f t="shared" si="0"/>
        <v>4</v>
      </c>
      <c r="J24" s="7" t="str">
        <f>IF(Sheet2!R15&lt;&gt;"",Sheet2!R15,"")</f>
        <v>Rizal Ermanto</v>
      </c>
      <c r="K24" s="7"/>
      <c r="L24" s="14" t="str">
        <f>IF(Sheet2!S15&lt;&gt;"",Sheet2!S15,"")</f>
        <v>Jakarta</v>
      </c>
      <c r="M24" s="7"/>
      <c r="N24" s="15">
        <f>IF(Sheet2!T15&lt;&gt;"",Sheet2!T15,"")</f>
        <v>2.8933333333333331</v>
      </c>
    </row>
    <row r="25" spans="9:14" x14ac:dyDescent="0.25">
      <c r="I25" s="13">
        <f t="shared" si="0"/>
        <v>5</v>
      </c>
      <c r="J25" s="7" t="str">
        <f>IF(Sheet2!R16&lt;&gt;"",Sheet2!R16,"")</f>
        <v>Peter Sulaeman</v>
      </c>
      <c r="K25" s="7"/>
      <c r="L25" s="14" t="str">
        <f>IF(Sheet2!S16&lt;&gt;"",Sheet2!S16,"")</f>
        <v>Jakarta</v>
      </c>
      <c r="M25" s="7"/>
      <c r="N25" s="15">
        <f>IF(Sheet2!T16&lt;&gt;"",Sheet2!T16,"")</f>
        <v>2.9991666666666661</v>
      </c>
    </row>
    <row r="26" spans="9:14" x14ac:dyDescent="0.25">
      <c r="I26" s="13">
        <f t="shared" si="0"/>
        <v>6</v>
      </c>
      <c r="J26" s="7" t="str">
        <f>IF(Sheet2!R17&lt;&gt;"",Sheet2!R17,"")</f>
        <v>Citra Mega Lestari</v>
      </c>
      <c r="K26" s="7"/>
      <c r="L26" s="14" t="str">
        <f>IF(Sheet2!S17&lt;&gt;"",Sheet2!S17,"")</f>
        <v>Bandung</v>
      </c>
      <c r="M26" s="7"/>
      <c r="N26" s="15">
        <f>IF(Sheet2!T17&lt;&gt;"",Sheet2!T17,"")</f>
        <v>3.0375000000000001</v>
      </c>
    </row>
    <row r="27" spans="9:14" x14ac:dyDescent="0.25">
      <c r="I27" s="13">
        <f t="shared" si="0"/>
        <v>7</v>
      </c>
      <c r="J27" s="7" t="str">
        <f>IF(Sheet2!R18&lt;&gt;"",Sheet2!R18,"")</f>
        <v>Yulia Nur Safitri</v>
      </c>
      <c r="K27" s="7"/>
      <c r="L27" s="14" t="str">
        <f>IF(Sheet2!S18&lt;&gt;"",Sheet2!S18,"")</f>
        <v>Jakarta</v>
      </c>
      <c r="M27" s="7"/>
      <c r="N27" s="15">
        <f>IF(Sheet2!T18&lt;&gt;"",Sheet2!T18,"")</f>
        <v>3.0408333333333335</v>
      </c>
    </row>
    <row r="28" spans="9:14" x14ac:dyDescent="0.25">
      <c r="I28" s="13">
        <f t="shared" si="0"/>
        <v>8</v>
      </c>
      <c r="J28" s="7" t="str">
        <f>IF(Sheet2!R19&lt;&gt;"",Sheet2!R19,"")</f>
        <v>Yolanda Novitri Setiawan</v>
      </c>
      <c r="K28" s="7"/>
      <c r="L28" s="14" t="str">
        <f>IF(Sheet2!S19&lt;&gt;"",Sheet2!S19,"")</f>
        <v>Jakarta</v>
      </c>
      <c r="M28" s="7"/>
      <c r="N28" s="15">
        <f>IF(Sheet2!T19&lt;&gt;"",Sheet2!T19,"")</f>
        <v>3.1291666666666669</v>
      </c>
    </row>
    <row r="29" spans="9:14" x14ac:dyDescent="0.25">
      <c r="I29" s="13">
        <f t="shared" si="0"/>
        <v>9</v>
      </c>
      <c r="J29" s="7" t="str">
        <f>IF(Sheet2!R20&lt;&gt;"",Sheet2!R20,"")</f>
        <v>Ferdinand Is Suhendra</v>
      </c>
      <c r="K29" s="7"/>
      <c r="L29" s="14" t="str">
        <f>IF(Sheet2!S20&lt;&gt;"",Sheet2!S20,"")</f>
        <v>Jakarta</v>
      </c>
      <c r="M29" s="7"/>
      <c r="N29" s="15">
        <f>IF(Sheet2!T20&lt;&gt;"",Sheet2!T20,"")</f>
        <v>3.1541666666666663</v>
      </c>
    </row>
    <row r="30" spans="9:14" x14ac:dyDescent="0.25">
      <c r="I30" s="13">
        <f t="shared" si="0"/>
        <v>10</v>
      </c>
      <c r="J30" s="7" t="str">
        <f>IF(Sheet2!R21&lt;&gt;"",Sheet2!R21,"")</f>
        <v>Agung saputra</v>
      </c>
      <c r="K30" s="7"/>
      <c r="L30" s="14" t="str">
        <f>IF(Sheet2!S21&lt;&gt;"",Sheet2!S21,"")</f>
        <v>Jakarta</v>
      </c>
      <c r="M30" s="7"/>
      <c r="N30" s="15">
        <f>IF(Sheet2!T21&lt;&gt;"",Sheet2!T21,"")</f>
        <v>3.2725000000000004</v>
      </c>
    </row>
    <row r="31" spans="9:14" x14ac:dyDescent="0.25">
      <c r="I31" s="13">
        <f t="shared" si="0"/>
        <v>11</v>
      </c>
      <c r="J31" s="7" t="str">
        <f>IF(Sheet2!R22&lt;&gt;"",Sheet2!R22,"")</f>
        <v>Ana Muslimah</v>
      </c>
      <c r="K31" s="7"/>
      <c r="L31" s="14" t="str">
        <f>IF(Sheet2!S22&lt;&gt;"",Sheet2!S22,"")</f>
        <v>Jakarta</v>
      </c>
      <c r="M31" s="7"/>
      <c r="N31" s="15">
        <f>IF(Sheet2!T22&lt;&gt;"",Sheet2!T22,"")</f>
        <v>3.4049999999999994</v>
      </c>
    </row>
    <row r="32" spans="9:14" x14ac:dyDescent="0.25">
      <c r="I32" s="13">
        <f t="shared" si="0"/>
        <v>12</v>
      </c>
      <c r="J32" s="7" t="str">
        <f>IF(Sheet2!R23&lt;&gt;"",Sheet2!R23,"")</f>
        <v>Nur Devi Yusiawati Gumelar</v>
      </c>
      <c r="K32" s="7"/>
      <c r="L32" s="14" t="str">
        <f>IF(Sheet2!S23&lt;&gt;"",Sheet2!S23,"")</f>
        <v>Jakarta</v>
      </c>
      <c r="M32" s="7"/>
      <c r="N32" s="15">
        <f>IF(Sheet2!T23&lt;&gt;"",Sheet2!T23,"")</f>
        <v>3.5925000000000011</v>
      </c>
    </row>
    <row r="33" spans="9:14" x14ac:dyDescent="0.25">
      <c r="I33" s="13">
        <f t="shared" si="0"/>
        <v>13</v>
      </c>
      <c r="J33" s="7" t="str">
        <f>IF(Sheet2!R24&lt;&gt;"",Sheet2!R24,"")</f>
        <v>Dwi Wira Surachandra</v>
      </c>
      <c r="K33" s="7"/>
      <c r="L33" s="14" t="str">
        <f>IF(Sheet2!S24&lt;&gt;"",Sheet2!S24,"")</f>
        <v>Bandung</v>
      </c>
      <c r="M33" s="7"/>
      <c r="N33" s="15">
        <f>IF(Sheet2!T24&lt;&gt;"",Sheet2!T24,"")</f>
        <v>3.6783333333333332</v>
      </c>
    </row>
  </sheetData>
  <mergeCells count="1">
    <mergeCell ref="J20:K2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B9FCA-66F0-45BA-8F9A-38052EE48DDA}">
  <dimension ref="B3:T24"/>
  <sheetViews>
    <sheetView topLeftCell="I1" zoomScale="102" zoomScaleNormal="100" workbookViewId="0">
      <selection activeCell="D8" sqref="D8"/>
    </sheetView>
  </sheetViews>
  <sheetFormatPr defaultRowHeight="15" x14ac:dyDescent="0.25"/>
  <cols>
    <col min="2" max="2" width="16.42578125" bestFit="1" customWidth="1"/>
    <col min="18" max="18" width="33.140625" bestFit="1" customWidth="1"/>
    <col min="19" max="19" width="9.7109375" bestFit="1" customWidth="1"/>
  </cols>
  <sheetData>
    <row r="3" spans="2:20" x14ac:dyDescent="0.25">
      <c r="B3" t="s">
        <v>170</v>
      </c>
    </row>
    <row r="4" spans="2:20" x14ac:dyDescent="0.25">
      <c r="B4" s="4">
        <v>122</v>
      </c>
    </row>
    <row r="11" spans="2:20" x14ac:dyDescent="0.25">
      <c r="B11" s="5" t="s">
        <v>171</v>
      </c>
      <c r="C11" t="s">
        <v>170</v>
      </c>
      <c r="F11" s="5" t="s">
        <v>171</v>
      </c>
      <c r="G11" t="s">
        <v>170</v>
      </c>
      <c r="J11" s="5" t="s">
        <v>171</v>
      </c>
      <c r="K11" t="s">
        <v>170</v>
      </c>
      <c r="N11" s="5" t="s">
        <v>171</v>
      </c>
      <c r="O11" t="s">
        <v>170</v>
      </c>
      <c r="R11" s="5" t="s">
        <v>1</v>
      </c>
      <c r="S11" s="5" t="s">
        <v>4</v>
      </c>
      <c r="T11" t="s">
        <v>179</v>
      </c>
    </row>
    <row r="12" spans="2:20" x14ac:dyDescent="0.25">
      <c r="B12" s="6" t="s">
        <v>35</v>
      </c>
      <c r="C12" s="4">
        <v>28</v>
      </c>
      <c r="F12" s="6" t="s">
        <v>29</v>
      </c>
      <c r="G12" s="4">
        <v>48</v>
      </c>
      <c r="J12" s="6" t="s">
        <v>173</v>
      </c>
      <c r="K12" s="4">
        <v>1</v>
      </c>
      <c r="N12" s="6" t="s">
        <v>177</v>
      </c>
      <c r="O12" s="4">
        <v>5</v>
      </c>
      <c r="R12" t="s">
        <v>58</v>
      </c>
      <c r="S12" t="s">
        <v>164</v>
      </c>
      <c r="T12" s="3">
        <v>2.1558333333333333</v>
      </c>
    </row>
    <row r="13" spans="2:20" x14ac:dyDescent="0.25">
      <c r="B13" s="6" t="s">
        <v>72</v>
      </c>
      <c r="C13" s="4">
        <v>2</v>
      </c>
      <c r="F13" s="6" t="s">
        <v>26</v>
      </c>
      <c r="G13" s="4">
        <v>74</v>
      </c>
      <c r="J13" s="6" t="s">
        <v>174</v>
      </c>
      <c r="K13" s="4">
        <v>36</v>
      </c>
      <c r="N13" s="6" t="s">
        <v>178</v>
      </c>
      <c r="O13" s="4">
        <v>8</v>
      </c>
      <c r="R13" t="s">
        <v>102</v>
      </c>
      <c r="S13" t="s">
        <v>164</v>
      </c>
      <c r="T13" s="3">
        <v>2.5175000000000001</v>
      </c>
    </row>
    <row r="14" spans="2:20" x14ac:dyDescent="0.25">
      <c r="B14" s="6" t="s">
        <v>25</v>
      </c>
      <c r="C14" s="4">
        <v>92</v>
      </c>
      <c r="F14" s="6" t="s">
        <v>172</v>
      </c>
      <c r="G14" s="4">
        <v>122</v>
      </c>
      <c r="J14" s="6" t="s">
        <v>175</v>
      </c>
      <c r="K14" s="4">
        <v>83</v>
      </c>
      <c r="N14" s="6" t="s">
        <v>172</v>
      </c>
      <c r="O14" s="4">
        <v>13</v>
      </c>
      <c r="R14" t="s">
        <v>142</v>
      </c>
      <c r="S14" t="s">
        <v>165</v>
      </c>
      <c r="T14" s="3">
        <v>2.7816666666666667</v>
      </c>
    </row>
    <row r="15" spans="2:20" x14ac:dyDescent="0.25">
      <c r="B15" s="6" t="s">
        <v>172</v>
      </c>
      <c r="C15" s="4">
        <v>122</v>
      </c>
      <c r="J15" s="6" t="s">
        <v>176</v>
      </c>
      <c r="K15" s="4">
        <v>2</v>
      </c>
      <c r="R15" t="s">
        <v>87</v>
      </c>
      <c r="S15" t="s">
        <v>164</v>
      </c>
      <c r="T15" s="3">
        <v>2.8933333333333331</v>
      </c>
    </row>
    <row r="16" spans="2:20" x14ac:dyDescent="0.25">
      <c r="J16" s="6" t="s">
        <v>172</v>
      </c>
      <c r="K16" s="4">
        <v>122</v>
      </c>
      <c r="R16" t="s">
        <v>119</v>
      </c>
      <c r="S16" t="s">
        <v>164</v>
      </c>
      <c r="T16" s="3">
        <v>2.9991666666666661</v>
      </c>
    </row>
    <row r="17" spans="18:20" x14ac:dyDescent="0.25">
      <c r="R17" t="s">
        <v>67</v>
      </c>
      <c r="S17" t="s">
        <v>165</v>
      </c>
      <c r="T17" s="3">
        <v>3.0375000000000001</v>
      </c>
    </row>
    <row r="18" spans="18:20" x14ac:dyDescent="0.25">
      <c r="R18" t="s">
        <v>144</v>
      </c>
      <c r="S18" t="s">
        <v>164</v>
      </c>
      <c r="T18" s="3">
        <v>3.0408333333333335</v>
      </c>
    </row>
    <row r="19" spans="18:20" x14ac:dyDescent="0.25">
      <c r="R19" t="s">
        <v>53</v>
      </c>
      <c r="S19" t="s">
        <v>164</v>
      </c>
      <c r="T19" s="3">
        <v>3.1291666666666669</v>
      </c>
    </row>
    <row r="20" spans="18:20" x14ac:dyDescent="0.25">
      <c r="R20" t="s">
        <v>85</v>
      </c>
      <c r="S20" t="s">
        <v>164</v>
      </c>
      <c r="T20" s="3">
        <v>3.1541666666666663</v>
      </c>
    </row>
    <row r="21" spans="18:20" x14ac:dyDescent="0.25">
      <c r="R21" t="s">
        <v>138</v>
      </c>
      <c r="S21" t="s">
        <v>164</v>
      </c>
      <c r="T21" s="3">
        <v>3.2725000000000004</v>
      </c>
    </row>
    <row r="22" spans="18:20" x14ac:dyDescent="0.25">
      <c r="R22" t="s">
        <v>126</v>
      </c>
      <c r="S22" t="s">
        <v>164</v>
      </c>
      <c r="T22" s="3">
        <v>3.4049999999999994</v>
      </c>
    </row>
    <row r="23" spans="18:20" x14ac:dyDescent="0.25">
      <c r="R23" t="s">
        <v>40</v>
      </c>
      <c r="S23" t="s">
        <v>164</v>
      </c>
      <c r="T23" s="3">
        <v>3.5925000000000011</v>
      </c>
    </row>
    <row r="24" spans="18:20" x14ac:dyDescent="0.25">
      <c r="R24" t="s">
        <v>149</v>
      </c>
      <c r="S24" t="s">
        <v>165</v>
      </c>
      <c r="T24" s="3">
        <v>3.6783333333333332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9B35-3B83-4897-8539-50DB38275746}">
  <dimension ref="A1:Z123"/>
  <sheetViews>
    <sheetView workbookViewId="0">
      <selection activeCell="B6" sqref="B6"/>
    </sheetView>
  </sheetViews>
  <sheetFormatPr defaultRowHeight="15" x14ac:dyDescent="0.25"/>
  <cols>
    <col min="2" max="2" width="16.140625" customWidth="1"/>
    <col min="5" max="5" width="9.5703125" customWidth="1"/>
    <col min="7" max="7" width="15.28515625" customWidth="1"/>
    <col min="8" max="8" width="14.5703125" style="1" customWidth="1"/>
    <col min="9" max="9" width="13.28515625" style="1" customWidth="1"/>
    <col min="10" max="10" width="13.28515625" style="2" customWidth="1"/>
    <col min="11" max="11" width="13.28515625" style="1" customWidth="1"/>
    <col min="12" max="12" width="13.140625" customWidth="1"/>
  </cols>
  <sheetData>
    <row r="1" spans="1:26" x14ac:dyDescent="0.25">
      <c r="A1" t="s">
        <v>0</v>
      </c>
      <c r="B1" t="s">
        <v>1</v>
      </c>
      <c r="C1" t="s">
        <v>2</v>
      </c>
      <c r="D1" t="s">
        <v>3</v>
      </c>
      <c r="E1" t="s">
        <v>4</v>
      </c>
      <c r="F1" t="s">
        <v>5</v>
      </c>
      <c r="G1" t="s">
        <v>6</v>
      </c>
      <c r="H1" s="1" t="s">
        <v>7</v>
      </c>
      <c r="I1" s="1" t="s">
        <v>8</v>
      </c>
      <c r="J1" s="2" t="s">
        <v>166</v>
      </c>
      <c r="K1" s="1" t="s">
        <v>167</v>
      </c>
      <c r="L1" t="s">
        <v>9</v>
      </c>
      <c r="M1" t="s">
        <v>10</v>
      </c>
      <c r="N1" t="s">
        <v>11</v>
      </c>
      <c r="O1" t="s">
        <v>12</v>
      </c>
      <c r="P1" t="s">
        <v>13</v>
      </c>
      <c r="Q1" t="s">
        <v>14</v>
      </c>
      <c r="R1" t="s">
        <v>15</v>
      </c>
      <c r="S1" t="s">
        <v>16</v>
      </c>
      <c r="T1" t="s">
        <v>17</v>
      </c>
      <c r="U1" t="s">
        <v>18</v>
      </c>
      <c r="V1" t="s">
        <v>19</v>
      </c>
      <c r="W1" t="s">
        <v>20</v>
      </c>
      <c r="X1" t="s">
        <v>21</v>
      </c>
      <c r="Y1" t="s">
        <v>168</v>
      </c>
      <c r="Z1" t="s">
        <v>169</v>
      </c>
    </row>
    <row r="2" spans="1:26" x14ac:dyDescent="0.25">
      <c r="A2">
        <v>116137</v>
      </c>
      <c r="B2" t="s">
        <v>22</v>
      </c>
      <c r="C2" t="s">
        <v>23</v>
      </c>
      <c r="D2" t="s">
        <v>24</v>
      </c>
      <c r="E2" t="s">
        <v>164</v>
      </c>
      <c r="F2" t="s">
        <v>25</v>
      </c>
      <c r="G2" t="s">
        <v>26</v>
      </c>
      <c r="H2" s="1">
        <v>33239</v>
      </c>
      <c r="I2" s="1">
        <v>42856</v>
      </c>
      <c r="J2" s="2">
        <f ca="1">DATEDIF(Table2[[#This Row],[Tanggal Lahir]],NOW(),"Y")</f>
        <v>35</v>
      </c>
      <c r="K2" s="1" t="str">
        <f ca="1">IF(Table2[[#This Row],[Usia]]&lt;25,"Gen Z",IF(Table2[[#This Row],[Usia]]&lt;40,"Gen Y",IF(Table2[[#This Row],[Usia]]&lt;56,"Gen X",IF(Table2[[#This Row],[Usia]]&gt;=56,"Baby Boomer"))))</f>
        <v>Gen Y</v>
      </c>
      <c r="L2" t="s">
        <v>27</v>
      </c>
      <c r="M2">
        <v>4.9400000000000004</v>
      </c>
      <c r="N2">
        <v>4.59</v>
      </c>
      <c r="O2">
        <v>1.74</v>
      </c>
      <c r="P2">
        <v>4.25</v>
      </c>
      <c r="Q2">
        <v>3.85</v>
      </c>
      <c r="R2">
        <v>1.26</v>
      </c>
      <c r="S2">
        <v>1.52</v>
      </c>
      <c r="T2">
        <v>2.0699999999999998</v>
      </c>
      <c r="U2">
        <v>2.15</v>
      </c>
      <c r="V2">
        <v>4.75</v>
      </c>
      <c r="W2">
        <v>2.17</v>
      </c>
      <c r="X2">
        <v>3.51</v>
      </c>
      <c r="Y2" s="3">
        <f>AVERAGE(Table2[[#This Row],[Jan]:[Dec]])</f>
        <v>3.0666666666666664</v>
      </c>
      <c r="Z2" t="str">
        <f>IF(Table2[[#This Row],[Average]]&lt;3,"Low",IF(Table2[[#This Row],[Average]]&lt;=4,"Med",IF(Table2[[#This Row],[Average]]&gt;4,"High")))</f>
        <v>Med</v>
      </c>
    </row>
    <row r="3" spans="1:26" x14ac:dyDescent="0.25">
      <c r="A3">
        <v>116857</v>
      </c>
      <c r="B3" t="s">
        <v>28</v>
      </c>
      <c r="C3" t="s">
        <v>23</v>
      </c>
      <c r="D3" t="s">
        <v>24</v>
      </c>
      <c r="E3" t="s">
        <v>165</v>
      </c>
      <c r="F3" t="s">
        <v>25</v>
      </c>
      <c r="G3" t="s">
        <v>29</v>
      </c>
      <c r="H3" s="1">
        <v>34456</v>
      </c>
      <c r="I3" s="1">
        <v>42826</v>
      </c>
      <c r="J3" s="2">
        <f ca="1">DATEDIF(Table2[[#This Row],[Tanggal Lahir]],NOW(),"Y")</f>
        <v>32</v>
      </c>
      <c r="K3" s="1" t="str">
        <f ca="1">IF(Table2[[#This Row],[Usia]]&lt;25,"Gen Z",IF(Table2[[#This Row],[Usia]]&lt;40,"Gen Y",IF(Table2[[#This Row],[Usia]]&lt;56,"Gen X",IF(Table2[[#This Row],[Usia]]&gt;=56,"Baby Boomer"))))</f>
        <v>Gen Y</v>
      </c>
      <c r="L3" t="s">
        <v>30</v>
      </c>
      <c r="M3">
        <v>3.13</v>
      </c>
      <c r="N3">
        <v>2.2200000000000002</v>
      </c>
      <c r="O3">
        <v>2.5099999999999998</v>
      </c>
      <c r="P3">
        <v>4.25</v>
      </c>
      <c r="Q3">
        <v>4.55</v>
      </c>
      <c r="R3">
        <v>4.9800000000000004</v>
      </c>
      <c r="S3">
        <v>2.29</v>
      </c>
      <c r="T3">
        <v>1.42</v>
      </c>
      <c r="U3">
        <v>1.98</v>
      </c>
      <c r="V3">
        <v>3.95</v>
      </c>
      <c r="W3">
        <v>3.75</v>
      </c>
      <c r="X3">
        <v>3.67</v>
      </c>
      <c r="Y3" s="3">
        <f>AVERAGE(Table2[[#This Row],[Jan]:[Dec]])</f>
        <v>3.2250000000000001</v>
      </c>
      <c r="Z3" t="str">
        <f>IF(Table2[[#This Row],[Average]]&lt;3,"Low",IF(Table2[[#This Row],[Average]]&lt;=4,"Med",IF(Table2[[#This Row],[Average]]&gt;4,"High")))</f>
        <v>Med</v>
      </c>
    </row>
    <row r="4" spans="1:26" x14ac:dyDescent="0.25">
      <c r="A4">
        <v>117360</v>
      </c>
      <c r="B4" t="s">
        <v>31</v>
      </c>
      <c r="C4" t="s">
        <v>32</v>
      </c>
      <c r="D4" t="s">
        <v>24</v>
      </c>
      <c r="E4" t="s">
        <v>164</v>
      </c>
      <c r="F4" t="s">
        <v>25</v>
      </c>
      <c r="G4" t="s">
        <v>26</v>
      </c>
      <c r="H4" s="1">
        <v>31471</v>
      </c>
      <c r="I4" s="1">
        <v>42065</v>
      </c>
      <c r="J4" s="2">
        <f ca="1">DATEDIF(Table2[[#This Row],[Tanggal Lahir]],NOW(),"Y")</f>
        <v>40</v>
      </c>
      <c r="K4" s="1" t="str">
        <f ca="1">IF(Table2[[#This Row],[Usia]]&lt;25,"Gen Z",IF(Table2[[#This Row],[Usia]]&lt;40,"Gen Y",IF(Table2[[#This Row],[Usia]]&lt;56,"Gen X",IF(Table2[[#This Row],[Usia]]&gt;=56,"Baby Boomer"))))</f>
        <v>Gen X</v>
      </c>
      <c r="L4" t="s">
        <v>33</v>
      </c>
      <c r="M4">
        <v>1.19</v>
      </c>
      <c r="N4">
        <v>1.64</v>
      </c>
      <c r="O4">
        <v>4.16</v>
      </c>
      <c r="P4">
        <v>1.0900000000000001</v>
      </c>
      <c r="Q4">
        <v>3.32</v>
      </c>
      <c r="R4">
        <v>3.52</v>
      </c>
      <c r="S4">
        <v>4.2</v>
      </c>
      <c r="T4">
        <v>3.23</v>
      </c>
      <c r="U4">
        <v>2.35</v>
      </c>
      <c r="V4">
        <v>1.52</v>
      </c>
      <c r="W4">
        <v>1.37</v>
      </c>
      <c r="X4">
        <v>2.12</v>
      </c>
      <c r="Y4" s="3">
        <f>AVERAGE(Table2[[#This Row],[Jan]:[Dec]])</f>
        <v>2.4758333333333336</v>
      </c>
      <c r="Z4" t="str">
        <f>IF(Table2[[#This Row],[Average]]&lt;3,"Low",IF(Table2[[#This Row],[Average]]&lt;=4,"Med",IF(Table2[[#This Row],[Average]]&gt;4,"High")))</f>
        <v>Low</v>
      </c>
    </row>
    <row r="5" spans="1:26" x14ac:dyDescent="0.25">
      <c r="A5">
        <v>120236</v>
      </c>
      <c r="B5" t="s">
        <v>34</v>
      </c>
      <c r="C5" t="s">
        <v>23</v>
      </c>
      <c r="D5" t="s">
        <v>24</v>
      </c>
      <c r="E5" t="s">
        <v>165</v>
      </c>
      <c r="F5" t="s">
        <v>35</v>
      </c>
      <c r="G5" t="s">
        <v>29</v>
      </c>
      <c r="H5" s="1">
        <v>34853</v>
      </c>
      <c r="I5" s="1">
        <v>44628</v>
      </c>
      <c r="J5" s="2">
        <f ca="1">DATEDIF(Table2[[#This Row],[Tanggal Lahir]],NOW(),"Y")</f>
        <v>31</v>
      </c>
      <c r="K5" s="1" t="str">
        <f ca="1">IF(Table2[[#This Row],[Usia]]&lt;25,"Gen Z",IF(Table2[[#This Row],[Usia]]&lt;40,"Gen Y",IF(Table2[[#This Row],[Usia]]&lt;56,"Gen X",IF(Table2[[#This Row],[Usia]]&gt;=56,"Baby Boomer"))))</f>
        <v>Gen Y</v>
      </c>
      <c r="L5" t="s">
        <v>30</v>
      </c>
      <c r="M5">
        <v>2.12</v>
      </c>
      <c r="N5">
        <v>1.68</v>
      </c>
      <c r="O5">
        <v>3.41</v>
      </c>
      <c r="P5">
        <v>4.62</v>
      </c>
      <c r="Q5">
        <v>2.33</v>
      </c>
      <c r="R5">
        <v>3.95</v>
      </c>
      <c r="S5">
        <v>3.56</v>
      </c>
      <c r="T5">
        <v>2.4900000000000002</v>
      </c>
      <c r="U5">
        <v>3.84</v>
      </c>
      <c r="V5">
        <v>1.86</v>
      </c>
      <c r="W5">
        <v>3.22</v>
      </c>
      <c r="X5">
        <v>1.9</v>
      </c>
      <c r="Y5" s="3">
        <f>AVERAGE(Table2[[#This Row],[Jan]:[Dec]])</f>
        <v>2.9149999999999996</v>
      </c>
      <c r="Z5" t="str">
        <f>IF(Table2[[#This Row],[Average]]&lt;3,"Low",IF(Table2[[#This Row],[Average]]&lt;=4,"Med",IF(Table2[[#This Row],[Average]]&gt;4,"High")))</f>
        <v>Low</v>
      </c>
    </row>
    <row r="6" spans="1:26" x14ac:dyDescent="0.25">
      <c r="A6">
        <v>129289</v>
      </c>
      <c r="B6" t="s">
        <v>36</v>
      </c>
      <c r="C6" t="s">
        <v>23</v>
      </c>
      <c r="D6" t="s">
        <v>24</v>
      </c>
      <c r="E6" t="s">
        <v>165</v>
      </c>
      <c r="F6" t="s">
        <v>25</v>
      </c>
      <c r="G6" t="s">
        <v>29</v>
      </c>
      <c r="H6" s="1">
        <v>30282</v>
      </c>
      <c r="I6" s="1">
        <v>42552</v>
      </c>
      <c r="J6" s="2">
        <f ca="1">DATEDIF(Table2[[#This Row],[Tanggal Lahir]],NOW(),"Y")</f>
        <v>43</v>
      </c>
      <c r="K6" s="1" t="str">
        <f ca="1">IF(Table2[[#This Row],[Usia]]&lt;25,"Gen Z",IF(Table2[[#This Row],[Usia]]&lt;40,"Gen Y",IF(Table2[[#This Row],[Usia]]&lt;56,"Gen X",IF(Table2[[#This Row],[Usia]]&gt;=56,"Baby Boomer"))))</f>
        <v>Gen X</v>
      </c>
      <c r="L6" t="s">
        <v>33</v>
      </c>
      <c r="M6">
        <v>4.53</v>
      </c>
      <c r="N6">
        <v>2.9</v>
      </c>
      <c r="O6">
        <v>1.51</v>
      </c>
      <c r="P6">
        <v>1.8</v>
      </c>
      <c r="Q6">
        <v>4.5199999999999996</v>
      </c>
      <c r="R6">
        <v>3.24</v>
      </c>
      <c r="S6">
        <v>2.59</v>
      </c>
      <c r="T6">
        <v>2.58</v>
      </c>
      <c r="U6">
        <v>3.25</v>
      </c>
      <c r="V6">
        <v>3.1</v>
      </c>
      <c r="W6">
        <v>2.91</v>
      </c>
      <c r="X6">
        <v>3.62</v>
      </c>
      <c r="Y6" s="3">
        <f>AVERAGE(Table2[[#This Row],[Jan]:[Dec]])</f>
        <v>3.0458333333333338</v>
      </c>
      <c r="Z6" t="str">
        <f>IF(Table2[[#This Row],[Average]]&lt;3,"Low",IF(Table2[[#This Row],[Average]]&lt;=4,"Med",IF(Table2[[#This Row],[Average]]&gt;4,"High")))</f>
        <v>Med</v>
      </c>
    </row>
    <row r="7" spans="1:26" x14ac:dyDescent="0.25">
      <c r="A7">
        <v>129462</v>
      </c>
      <c r="B7" t="s">
        <v>37</v>
      </c>
      <c r="C7" t="s">
        <v>23</v>
      </c>
      <c r="D7" t="s">
        <v>38</v>
      </c>
      <c r="E7" t="s">
        <v>165</v>
      </c>
      <c r="F7" t="s">
        <v>25</v>
      </c>
      <c r="G7" t="s">
        <v>26</v>
      </c>
      <c r="H7" s="1">
        <v>32997</v>
      </c>
      <c r="I7" s="1">
        <v>42856</v>
      </c>
      <c r="J7" s="2">
        <f ca="1">DATEDIF(Table2[[#This Row],[Tanggal Lahir]],NOW(),"Y")</f>
        <v>36</v>
      </c>
      <c r="K7" s="1" t="str">
        <f ca="1">IF(Table2[[#This Row],[Usia]]&lt;25,"Gen Z",IF(Table2[[#This Row],[Usia]]&lt;40,"Gen Y",IF(Table2[[#This Row],[Usia]]&lt;56,"Gen X",IF(Table2[[#This Row],[Usia]]&gt;=56,"Baby Boomer"))))</f>
        <v>Gen Y</v>
      </c>
      <c r="L7" t="s">
        <v>33</v>
      </c>
      <c r="M7">
        <v>2.2999999999999998</v>
      </c>
      <c r="N7">
        <v>2.76</v>
      </c>
      <c r="O7">
        <v>3.69</v>
      </c>
      <c r="P7">
        <v>3.25</v>
      </c>
      <c r="Q7">
        <v>2.6</v>
      </c>
      <c r="R7">
        <v>3.92</v>
      </c>
      <c r="S7">
        <v>5</v>
      </c>
      <c r="T7">
        <v>1.87</v>
      </c>
      <c r="U7">
        <v>4.37</v>
      </c>
      <c r="V7">
        <v>2.87</v>
      </c>
      <c r="W7">
        <v>2.57</v>
      </c>
      <c r="X7">
        <v>1.97</v>
      </c>
      <c r="Y7" s="3">
        <f>AVERAGE(Table2[[#This Row],[Jan]:[Dec]])</f>
        <v>3.0975000000000001</v>
      </c>
      <c r="Z7" t="str">
        <f>IF(Table2[[#This Row],[Average]]&lt;3,"Low",IF(Table2[[#This Row],[Average]]&lt;=4,"Med",IF(Table2[[#This Row],[Average]]&gt;4,"High")))</f>
        <v>Med</v>
      </c>
    </row>
    <row r="8" spans="1:26" x14ac:dyDescent="0.25">
      <c r="A8">
        <v>134130</v>
      </c>
      <c r="B8" t="s">
        <v>39</v>
      </c>
      <c r="C8" t="s">
        <v>23</v>
      </c>
      <c r="D8" t="s">
        <v>24</v>
      </c>
      <c r="E8" t="s">
        <v>164</v>
      </c>
      <c r="F8" t="s">
        <v>25</v>
      </c>
      <c r="G8" t="s">
        <v>26</v>
      </c>
      <c r="H8" s="1">
        <v>33572</v>
      </c>
      <c r="I8" s="1">
        <v>41701</v>
      </c>
      <c r="J8" s="2">
        <f ca="1">DATEDIF(Table2[[#This Row],[Tanggal Lahir]],NOW(),"Y")</f>
        <v>34</v>
      </c>
      <c r="K8" s="1" t="str">
        <f ca="1">IF(Table2[[#This Row],[Usia]]&lt;25,"Gen Z",IF(Table2[[#This Row],[Usia]]&lt;40,"Gen Y",IF(Table2[[#This Row],[Usia]]&lt;56,"Gen X",IF(Table2[[#This Row],[Usia]]&gt;=56,"Baby Boomer"))))</f>
        <v>Gen Y</v>
      </c>
      <c r="L8" t="s">
        <v>33</v>
      </c>
      <c r="M8">
        <v>4.72</v>
      </c>
      <c r="N8">
        <v>3.68</v>
      </c>
      <c r="O8">
        <v>3.73</v>
      </c>
      <c r="P8">
        <v>3.21</v>
      </c>
      <c r="Q8">
        <v>3.51</v>
      </c>
      <c r="R8">
        <v>3.78</v>
      </c>
      <c r="S8">
        <v>3.58</v>
      </c>
      <c r="T8">
        <v>1.49</v>
      </c>
      <c r="U8">
        <v>4.49</v>
      </c>
      <c r="V8">
        <v>4.3499999999999996</v>
      </c>
      <c r="W8">
        <v>4</v>
      </c>
      <c r="X8">
        <v>2.88</v>
      </c>
      <c r="Y8" s="3">
        <f>AVERAGE(Table2[[#This Row],[Jan]:[Dec]])</f>
        <v>3.6183333333333336</v>
      </c>
      <c r="Z8" t="str">
        <f>IF(Table2[[#This Row],[Average]]&lt;3,"Low",IF(Table2[[#This Row],[Average]]&lt;=4,"Med",IF(Table2[[#This Row],[Average]]&gt;4,"High")))</f>
        <v>Med</v>
      </c>
    </row>
    <row r="9" spans="1:26" x14ac:dyDescent="0.25">
      <c r="A9">
        <v>135771</v>
      </c>
      <c r="B9" t="s">
        <v>40</v>
      </c>
      <c r="C9" t="s">
        <v>41</v>
      </c>
      <c r="D9" t="s">
        <v>24</v>
      </c>
      <c r="E9" t="s">
        <v>164</v>
      </c>
      <c r="F9" t="s">
        <v>25</v>
      </c>
      <c r="G9" t="s">
        <v>26</v>
      </c>
      <c r="H9" s="1">
        <v>30433</v>
      </c>
      <c r="I9" s="1">
        <v>42917</v>
      </c>
      <c r="J9" s="2">
        <f ca="1">DATEDIF(Table2[[#This Row],[Tanggal Lahir]],NOW(),"Y")</f>
        <v>43</v>
      </c>
      <c r="K9" s="1" t="str">
        <f ca="1">IF(Table2[[#This Row],[Usia]]&lt;25,"Gen Z",IF(Table2[[#This Row],[Usia]]&lt;40,"Gen Y",IF(Table2[[#This Row],[Usia]]&lt;56,"Gen X",IF(Table2[[#This Row],[Usia]]&gt;=56,"Baby Boomer"))))</f>
        <v>Gen X</v>
      </c>
      <c r="L9" t="s">
        <v>33</v>
      </c>
      <c r="M9">
        <v>3.82</v>
      </c>
      <c r="N9">
        <v>3.92</v>
      </c>
      <c r="O9">
        <v>3.16</v>
      </c>
      <c r="P9">
        <v>4.45</v>
      </c>
      <c r="Q9">
        <v>3.58</v>
      </c>
      <c r="R9">
        <v>4.87</v>
      </c>
      <c r="S9">
        <v>2.5</v>
      </c>
      <c r="T9">
        <v>4.4400000000000004</v>
      </c>
      <c r="U9">
        <v>4.45</v>
      </c>
      <c r="V9">
        <v>3.91</v>
      </c>
      <c r="W9">
        <v>1.95</v>
      </c>
      <c r="X9">
        <v>2.06</v>
      </c>
      <c r="Y9" s="3">
        <f>AVERAGE(Table2[[#This Row],[Jan]:[Dec]])</f>
        <v>3.5925000000000011</v>
      </c>
      <c r="Z9" t="str">
        <f>IF(Table2[[#This Row],[Average]]&lt;3,"Low",IF(Table2[[#This Row],[Average]]&lt;=4,"Med",IF(Table2[[#This Row],[Average]]&gt;4,"High")))</f>
        <v>Med</v>
      </c>
    </row>
    <row r="10" spans="1:26" x14ac:dyDescent="0.25">
      <c r="A10">
        <v>139299</v>
      </c>
      <c r="B10" t="s">
        <v>42</v>
      </c>
      <c r="C10" t="s">
        <v>23</v>
      </c>
      <c r="D10" t="s">
        <v>38</v>
      </c>
      <c r="E10" t="s">
        <v>165</v>
      </c>
      <c r="F10" t="s">
        <v>25</v>
      </c>
      <c r="G10" t="s">
        <v>26</v>
      </c>
      <c r="H10" s="1">
        <v>28672</v>
      </c>
      <c r="I10" s="1">
        <v>40147</v>
      </c>
      <c r="J10" s="2">
        <f ca="1">DATEDIF(Table2[[#This Row],[Tanggal Lahir]],NOW(),"Y")</f>
        <v>48</v>
      </c>
      <c r="K10" s="1" t="str">
        <f ca="1">IF(Table2[[#This Row],[Usia]]&lt;25,"Gen Z",IF(Table2[[#This Row],[Usia]]&lt;40,"Gen Y",IF(Table2[[#This Row],[Usia]]&lt;56,"Gen X",IF(Table2[[#This Row],[Usia]]&gt;=56,"Baby Boomer"))))</f>
        <v>Gen X</v>
      </c>
      <c r="L10" t="s">
        <v>27</v>
      </c>
      <c r="M10">
        <v>2.25</v>
      </c>
      <c r="N10">
        <v>3</v>
      </c>
      <c r="O10">
        <v>2.04</v>
      </c>
      <c r="P10">
        <v>3.43</v>
      </c>
      <c r="Q10">
        <v>2.63</v>
      </c>
      <c r="R10">
        <v>1.98</v>
      </c>
      <c r="S10">
        <v>2.71</v>
      </c>
      <c r="T10">
        <v>2.68</v>
      </c>
      <c r="U10">
        <v>4.72</v>
      </c>
      <c r="V10">
        <v>2.6</v>
      </c>
      <c r="W10">
        <v>4.3499999999999996</v>
      </c>
      <c r="X10">
        <v>2.1</v>
      </c>
      <c r="Y10" s="3">
        <f>AVERAGE(Table2[[#This Row],[Jan]:[Dec]])</f>
        <v>2.874166666666667</v>
      </c>
      <c r="Z10" t="str">
        <f>IF(Table2[[#This Row],[Average]]&lt;3,"Low",IF(Table2[[#This Row],[Average]]&lt;=4,"Med",IF(Table2[[#This Row],[Average]]&gt;4,"High")))</f>
        <v>Low</v>
      </c>
    </row>
    <row r="11" spans="1:26" x14ac:dyDescent="0.25">
      <c r="A11">
        <v>141347</v>
      </c>
      <c r="B11" t="s">
        <v>43</v>
      </c>
      <c r="C11" t="s">
        <v>23</v>
      </c>
      <c r="D11" t="s">
        <v>24</v>
      </c>
      <c r="E11" t="s">
        <v>164</v>
      </c>
      <c r="F11" t="s">
        <v>25</v>
      </c>
      <c r="G11" t="s">
        <v>26</v>
      </c>
      <c r="H11" s="1">
        <v>28322</v>
      </c>
      <c r="I11" s="1">
        <v>38598</v>
      </c>
      <c r="J11" s="2">
        <f ca="1">DATEDIF(Table2[[#This Row],[Tanggal Lahir]],NOW(),"Y")</f>
        <v>49</v>
      </c>
      <c r="K11" s="1" t="str">
        <f ca="1">IF(Table2[[#This Row],[Usia]]&lt;25,"Gen Z",IF(Table2[[#This Row],[Usia]]&lt;40,"Gen Y",IF(Table2[[#This Row],[Usia]]&lt;56,"Gen X",IF(Table2[[#This Row],[Usia]]&gt;=56,"Baby Boomer"))))</f>
        <v>Gen X</v>
      </c>
      <c r="L11" t="s">
        <v>33</v>
      </c>
      <c r="M11">
        <v>3.27</v>
      </c>
      <c r="N11">
        <v>1.56</v>
      </c>
      <c r="O11">
        <v>4.76</v>
      </c>
      <c r="P11">
        <v>1.24</v>
      </c>
      <c r="Q11">
        <v>3.7</v>
      </c>
      <c r="R11">
        <v>3.97</v>
      </c>
      <c r="S11">
        <v>3.63</v>
      </c>
      <c r="T11">
        <v>2.74</v>
      </c>
      <c r="U11">
        <v>3.04</v>
      </c>
      <c r="V11">
        <v>2.5</v>
      </c>
      <c r="W11">
        <v>2.73</v>
      </c>
      <c r="X11">
        <v>4.12</v>
      </c>
      <c r="Y11" s="3">
        <f>AVERAGE(Table2[[#This Row],[Jan]:[Dec]])</f>
        <v>3.1049999999999991</v>
      </c>
      <c r="Z11" t="str">
        <f>IF(Table2[[#This Row],[Average]]&lt;3,"Low",IF(Table2[[#This Row],[Average]]&lt;=4,"Med",IF(Table2[[#This Row],[Average]]&gt;4,"High")))</f>
        <v>Med</v>
      </c>
    </row>
    <row r="12" spans="1:26" x14ac:dyDescent="0.25">
      <c r="A12">
        <v>144305</v>
      </c>
      <c r="B12" t="s">
        <v>44</v>
      </c>
      <c r="C12" t="s">
        <v>23</v>
      </c>
      <c r="D12" t="s">
        <v>24</v>
      </c>
      <c r="E12" t="s">
        <v>164</v>
      </c>
      <c r="F12" t="s">
        <v>25</v>
      </c>
      <c r="G12" t="s">
        <v>26</v>
      </c>
      <c r="H12" s="1">
        <v>32951</v>
      </c>
      <c r="I12" s="1">
        <v>43009</v>
      </c>
      <c r="J12" s="2">
        <f ca="1">DATEDIF(Table2[[#This Row],[Tanggal Lahir]],NOW(),"Y")</f>
        <v>36</v>
      </c>
      <c r="K12" s="1" t="str">
        <f ca="1">IF(Table2[[#This Row],[Usia]]&lt;25,"Gen Z",IF(Table2[[#This Row],[Usia]]&lt;40,"Gen Y",IF(Table2[[#This Row],[Usia]]&lt;56,"Gen X",IF(Table2[[#This Row],[Usia]]&gt;=56,"Baby Boomer"))))</f>
        <v>Gen Y</v>
      </c>
      <c r="L12" t="s">
        <v>33</v>
      </c>
      <c r="M12">
        <v>1.47</v>
      </c>
      <c r="N12">
        <v>3.31</v>
      </c>
      <c r="O12">
        <v>4.75</v>
      </c>
      <c r="P12">
        <v>1.18</v>
      </c>
      <c r="Q12">
        <v>4.72</v>
      </c>
      <c r="R12">
        <v>4.5599999999999996</v>
      </c>
      <c r="S12">
        <v>4.51</v>
      </c>
      <c r="T12">
        <v>1.84</v>
      </c>
      <c r="U12">
        <v>3.07</v>
      </c>
      <c r="V12">
        <v>1.18</v>
      </c>
      <c r="W12">
        <v>1.97</v>
      </c>
      <c r="X12">
        <v>3.59</v>
      </c>
      <c r="Y12" s="3">
        <f>AVERAGE(Table2[[#This Row],[Jan]:[Dec]])</f>
        <v>3.0125000000000006</v>
      </c>
      <c r="Z12" t="str">
        <f>IF(Table2[[#This Row],[Average]]&lt;3,"Low",IF(Table2[[#This Row],[Average]]&lt;=4,"Med",IF(Table2[[#This Row],[Average]]&gt;4,"High")))</f>
        <v>Med</v>
      </c>
    </row>
    <row r="13" spans="1:26" x14ac:dyDescent="0.25">
      <c r="A13">
        <v>145284</v>
      </c>
      <c r="B13" t="s">
        <v>45</v>
      </c>
      <c r="C13" t="s">
        <v>23</v>
      </c>
      <c r="D13" t="s">
        <v>24</v>
      </c>
      <c r="E13" t="s">
        <v>164</v>
      </c>
      <c r="F13" t="s">
        <v>25</v>
      </c>
      <c r="G13" t="s">
        <v>26</v>
      </c>
      <c r="H13" s="1">
        <v>31488</v>
      </c>
      <c r="I13" s="1">
        <v>43040</v>
      </c>
      <c r="J13" s="2">
        <f ca="1">DATEDIF(Table2[[#This Row],[Tanggal Lahir]],NOW(),"Y")</f>
        <v>40</v>
      </c>
      <c r="K13" s="1" t="str">
        <f ca="1">IF(Table2[[#This Row],[Usia]]&lt;25,"Gen Z",IF(Table2[[#This Row],[Usia]]&lt;40,"Gen Y",IF(Table2[[#This Row],[Usia]]&lt;56,"Gen X",IF(Table2[[#This Row],[Usia]]&gt;=56,"Baby Boomer"))))</f>
        <v>Gen X</v>
      </c>
      <c r="L13" t="s">
        <v>33</v>
      </c>
      <c r="M13">
        <v>1.85</v>
      </c>
      <c r="N13">
        <v>1.74</v>
      </c>
      <c r="O13">
        <v>1.35</v>
      </c>
      <c r="P13">
        <v>2.16</v>
      </c>
      <c r="Q13">
        <v>4.49</v>
      </c>
      <c r="R13">
        <v>2.94</v>
      </c>
      <c r="S13">
        <v>1</v>
      </c>
      <c r="T13">
        <v>4.6100000000000003</v>
      </c>
      <c r="U13">
        <v>1.94</v>
      </c>
      <c r="V13">
        <v>4.33</v>
      </c>
      <c r="W13">
        <v>3.37</v>
      </c>
      <c r="X13">
        <v>3.26</v>
      </c>
      <c r="Y13" s="3">
        <f>AVERAGE(Table2[[#This Row],[Jan]:[Dec]])</f>
        <v>2.7533333333333339</v>
      </c>
      <c r="Z13" t="str">
        <f>IF(Table2[[#This Row],[Average]]&lt;3,"Low",IF(Table2[[#This Row],[Average]]&lt;=4,"Med",IF(Table2[[#This Row],[Average]]&gt;4,"High")))</f>
        <v>Low</v>
      </c>
    </row>
    <row r="14" spans="1:26" x14ac:dyDescent="0.25">
      <c r="A14">
        <v>148040</v>
      </c>
      <c r="B14" t="s">
        <v>46</v>
      </c>
      <c r="C14" t="s">
        <v>23</v>
      </c>
      <c r="D14" t="s">
        <v>24</v>
      </c>
      <c r="E14" t="s">
        <v>165</v>
      </c>
      <c r="F14" t="s">
        <v>25</v>
      </c>
      <c r="G14" t="s">
        <v>26</v>
      </c>
      <c r="H14" s="1">
        <v>31340</v>
      </c>
      <c r="I14" s="1">
        <v>41466</v>
      </c>
      <c r="J14" s="2">
        <f ca="1">DATEDIF(Table2[[#This Row],[Tanggal Lahir]],NOW(),"Y")</f>
        <v>40</v>
      </c>
      <c r="K14" s="1" t="str">
        <f ca="1">IF(Table2[[#This Row],[Usia]]&lt;25,"Gen Z",IF(Table2[[#This Row],[Usia]]&lt;40,"Gen Y",IF(Table2[[#This Row],[Usia]]&lt;56,"Gen X",IF(Table2[[#This Row],[Usia]]&gt;=56,"Baby Boomer"))))</f>
        <v>Gen X</v>
      </c>
      <c r="L14" t="s">
        <v>33</v>
      </c>
      <c r="M14">
        <v>1.2</v>
      </c>
      <c r="N14">
        <v>2.57</v>
      </c>
      <c r="O14">
        <v>2.0299999999999998</v>
      </c>
      <c r="P14">
        <v>3.89</v>
      </c>
      <c r="Q14">
        <v>1.7</v>
      </c>
      <c r="R14">
        <v>2.36</v>
      </c>
      <c r="S14">
        <v>3</v>
      </c>
      <c r="T14">
        <v>1.83</v>
      </c>
      <c r="U14">
        <v>2.63</v>
      </c>
      <c r="V14">
        <v>1.21</v>
      </c>
      <c r="W14">
        <v>3.33</v>
      </c>
      <c r="X14">
        <v>4.45</v>
      </c>
      <c r="Y14" s="3">
        <f>AVERAGE(Table2[[#This Row],[Jan]:[Dec]])</f>
        <v>2.5166666666666666</v>
      </c>
      <c r="Z14" t="str">
        <f>IF(Table2[[#This Row],[Average]]&lt;3,"Low",IF(Table2[[#This Row],[Average]]&lt;=4,"Med",IF(Table2[[#This Row],[Average]]&gt;4,"High")))</f>
        <v>Low</v>
      </c>
    </row>
    <row r="15" spans="1:26" x14ac:dyDescent="0.25">
      <c r="A15">
        <v>156358</v>
      </c>
      <c r="B15" t="s">
        <v>47</v>
      </c>
      <c r="C15" t="s">
        <v>48</v>
      </c>
      <c r="D15" t="s">
        <v>49</v>
      </c>
      <c r="E15" t="s">
        <v>164</v>
      </c>
      <c r="F15" t="s">
        <v>25</v>
      </c>
      <c r="G15" t="s">
        <v>26</v>
      </c>
      <c r="H15" s="1">
        <v>31018</v>
      </c>
      <c r="I15" s="1">
        <v>40527</v>
      </c>
      <c r="J15" s="2">
        <f ca="1">DATEDIF(Table2[[#This Row],[Tanggal Lahir]],NOW(),"Y")</f>
        <v>41</v>
      </c>
      <c r="K15" s="1" t="str">
        <f ca="1">IF(Table2[[#This Row],[Usia]]&lt;25,"Gen Z",IF(Table2[[#This Row],[Usia]]&lt;40,"Gen Y",IF(Table2[[#This Row],[Usia]]&lt;56,"Gen X",IF(Table2[[#This Row],[Usia]]&gt;=56,"Baby Boomer"))))</f>
        <v>Gen X</v>
      </c>
      <c r="L15" t="s">
        <v>50</v>
      </c>
      <c r="M15">
        <v>2.67</v>
      </c>
      <c r="N15">
        <v>2.2200000000000002</v>
      </c>
      <c r="O15">
        <v>2.46</v>
      </c>
      <c r="P15">
        <v>2.39</v>
      </c>
      <c r="Q15">
        <v>2.0699999999999998</v>
      </c>
      <c r="R15">
        <v>1.48</v>
      </c>
      <c r="S15">
        <v>3.11</v>
      </c>
      <c r="T15">
        <v>3</v>
      </c>
      <c r="U15">
        <v>4.8499999999999996</v>
      </c>
      <c r="V15">
        <v>2.5099999999999998</v>
      </c>
      <c r="W15">
        <v>2.19</v>
      </c>
      <c r="X15">
        <v>3.8</v>
      </c>
      <c r="Y15" s="3">
        <f>AVERAGE(Table2[[#This Row],[Jan]:[Dec]])</f>
        <v>2.7291666666666665</v>
      </c>
      <c r="Z15" t="str">
        <f>IF(Table2[[#This Row],[Average]]&lt;3,"Low",IF(Table2[[#This Row],[Average]]&lt;=4,"Med",IF(Table2[[#This Row],[Average]]&gt;4,"High")))</f>
        <v>Low</v>
      </c>
    </row>
    <row r="16" spans="1:26" x14ac:dyDescent="0.25">
      <c r="A16">
        <v>160464</v>
      </c>
      <c r="B16" t="s">
        <v>51</v>
      </c>
      <c r="C16" t="s">
        <v>23</v>
      </c>
      <c r="D16" t="s">
        <v>24</v>
      </c>
      <c r="E16" t="s">
        <v>165</v>
      </c>
      <c r="F16" t="s">
        <v>25</v>
      </c>
      <c r="G16" t="s">
        <v>26</v>
      </c>
      <c r="H16" s="1">
        <v>31842</v>
      </c>
      <c r="I16" s="1">
        <v>41120</v>
      </c>
      <c r="J16" s="2">
        <f ca="1">DATEDIF(Table2[[#This Row],[Tanggal Lahir]],NOW(),"Y")</f>
        <v>39</v>
      </c>
      <c r="K16" s="1" t="str">
        <f ca="1">IF(Table2[[#This Row],[Usia]]&lt;25,"Gen Z",IF(Table2[[#This Row],[Usia]]&lt;40,"Gen Y",IF(Table2[[#This Row],[Usia]]&lt;56,"Gen X",IF(Table2[[#This Row],[Usia]]&gt;=56,"Baby Boomer"))))</f>
        <v>Gen Y</v>
      </c>
      <c r="L16" t="s">
        <v>33</v>
      </c>
      <c r="M16">
        <v>2.09</v>
      </c>
      <c r="N16">
        <v>2.61</v>
      </c>
      <c r="O16">
        <v>2.46</v>
      </c>
      <c r="P16">
        <v>2.66</v>
      </c>
      <c r="Q16">
        <v>2.15</v>
      </c>
      <c r="R16">
        <v>4.46</v>
      </c>
      <c r="S16">
        <v>1</v>
      </c>
      <c r="T16">
        <v>3.94</v>
      </c>
      <c r="U16">
        <v>3.23</v>
      </c>
      <c r="V16">
        <v>3.52</v>
      </c>
      <c r="W16">
        <v>4.32</v>
      </c>
      <c r="X16">
        <v>2.62</v>
      </c>
      <c r="Y16" s="3">
        <f>AVERAGE(Table2[[#This Row],[Jan]:[Dec]])</f>
        <v>2.9216666666666664</v>
      </c>
      <c r="Z16" t="str">
        <f>IF(Table2[[#This Row],[Average]]&lt;3,"Low",IF(Table2[[#This Row],[Average]]&lt;=4,"Med",IF(Table2[[#This Row],[Average]]&gt;4,"High")))</f>
        <v>Low</v>
      </c>
    </row>
    <row r="17" spans="1:26" x14ac:dyDescent="0.25">
      <c r="A17">
        <v>163937</v>
      </c>
      <c r="B17" t="s">
        <v>52</v>
      </c>
      <c r="C17" t="s">
        <v>23</v>
      </c>
      <c r="D17" t="s">
        <v>38</v>
      </c>
      <c r="E17" t="s">
        <v>164</v>
      </c>
      <c r="F17" t="s">
        <v>25</v>
      </c>
      <c r="G17" t="s">
        <v>29</v>
      </c>
      <c r="H17" s="1">
        <v>32525</v>
      </c>
      <c r="I17" s="1">
        <v>42491</v>
      </c>
      <c r="J17" s="2">
        <f ca="1">DATEDIF(Table2[[#This Row],[Tanggal Lahir]],NOW(),"Y")</f>
        <v>37</v>
      </c>
      <c r="K17" s="1" t="str">
        <f ca="1">IF(Table2[[#This Row],[Usia]]&lt;25,"Gen Z",IF(Table2[[#This Row],[Usia]]&lt;40,"Gen Y",IF(Table2[[#This Row],[Usia]]&lt;56,"Gen X",IF(Table2[[#This Row],[Usia]]&gt;=56,"Baby Boomer"))))</f>
        <v>Gen Y</v>
      </c>
      <c r="L17" t="s">
        <v>33</v>
      </c>
      <c r="M17">
        <v>1.08</v>
      </c>
      <c r="N17">
        <v>2.95</v>
      </c>
      <c r="O17">
        <v>4.25</v>
      </c>
      <c r="P17">
        <v>2.46</v>
      </c>
      <c r="Q17">
        <v>1.44</v>
      </c>
      <c r="R17">
        <v>3.13</v>
      </c>
      <c r="S17">
        <v>3.54</v>
      </c>
      <c r="T17">
        <v>3.81</v>
      </c>
      <c r="U17">
        <v>4.0599999999999996</v>
      </c>
      <c r="V17">
        <v>4.22</v>
      </c>
      <c r="W17">
        <v>4.75</v>
      </c>
      <c r="X17">
        <v>2.09</v>
      </c>
      <c r="Y17" s="3">
        <f>AVERAGE(Table2[[#This Row],[Jan]:[Dec]])</f>
        <v>3.1483333333333334</v>
      </c>
      <c r="Z17" t="str">
        <f>IF(Table2[[#This Row],[Average]]&lt;3,"Low",IF(Table2[[#This Row],[Average]]&lt;=4,"Med",IF(Table2[[#This Row],[Average]]&gt;4,"High")))</f>
        <v>Med</v>
      </c>
    </row>
    <row r="18" spans="1:26" x14ac:dyDescent="0.25">
      <c r="A18">
        <v>164354</v>
      </c>
      <c r="B18" t="s">
        <v>53</v>
      </c>
      <c r="C18" t="s">
        <v>41</v>
      </c>
      <c r="D18" t="s">
        <v>24</v>
      </c>
      <c r="E18" t="s">
        <v>164</v>
      </c>
      <c r="F18" t="s">
        <v>25</v>
      </c>
      <c r="G18" t="s">
        <v>26</v>
      </c>
      <c r="H18" s="1">
        <v>30130</v>
      </c>
      <c r="I18" s="1">
        <v>39518</v>
      </c>
      <c r="J18" s="2">
        <f ca="1">DATEDIF(Table2[[#This Row],[Tanggal Lahir]],NOW(),"Y")</f>
        <v>44</v>
      </c>
      <c r="K18" s="1" t="str">
        <f ca="1">IF(Table2[[#This Row],[Usia]]&lt;25,"Gen Z",IF(Table2[[#This Row],[Usia]]&lt;40,"Gen Y",IF(Table2[[#This Row],[Usia]]&lt;56,"Gen X",IF(Table2[[#This Row],[Usia]]&gt;=56,"Baby Boomer"))))</f>
        <v>Gen X</v>
      </c>
      <c r="L18" t="s">
        <v>33</v>
      </c>
      <c r="M18">
        <v>3.89</v>
      </c>
      <c r="N18">
        <v>1.92</v>
      </c>
      <c r="O18">
        <v>4.87</v>
      </c>
      <c r="P18">
        <v>3.89</v>
      </c>
      <c r="Q18">
        <v>4.47</v>
      </c>
      <c r="R18">
        <v>3</v>
      </c>
      <c r="S18">
        <v>2.37</v>
      </c>
      <c r="T18">
        <v>2.8</v>
      </c>
      <c r="U18">
        <v>4.3</v>
      </c>
      <c r="V18">
        <v>1.27</v>
      </c>
      <c r="W18">
        <v>1.77</v>
      </c>
      <c r="X18">
        <v>3</v>
      </c>
      <c r="Y18" s="3">
        <f>AVERAGE(Table2[[#This Row],[Jan]:[Dec]])</f>
        <v>3.1291666666666669</v>
      </c>
      <c r="Z18" t="str">
        <f>IF(Table2[[#This Row],[Average]]&lt;3,"Low",IF(Table2[[#This Row],[Average]]&lt;=4,"Med",IF(Table2[[#This Row],[Average]]&gt;4,"High")))</f>
        <v>Med</v>
      </c>
    </row>
    <row r="19" spans="1:26" x14ac:dyDescent="0.25">
      <c r="A19">
        <v>164388</v>
      </c>
      <c r="B19" t="s">
        <v>54</v>
      </c>
      <c r="C19" t="s">
        <v>23</v>
      </c>
      <c r="D19" t="s">
        <v>24</v>
      </c>
      <c r="E19" t="s">
        <v>165</v>
      </c>
      <c r="F19" t="s">
        <v>25</v>
      </c>
      <c r="G19" t="s">
        <v>26</v>
      </c>
      <c r="H19" s="1">
        <v>29536</v>
      </c>
      <c r="I19" s="1">
        <v>38718</v>
      </c>
      <c r="J19" s="2">
        <f ca="1">DATEDIF(Table2[[#This Row],[Tanggal Lahir]],NOW(),"Y")</f>
        <v>45</v>
      </c>
      <c r="K19" s="1" t="str">
        <f ca="1">IF(Table2[[#This Row],[Usia]]&lt;25,"Gen Z",IF(Table2[[#This Row],[Usia]]&lt;40,"Gen Y",IF(Table2[[#This Row],[Usia]]&lt;56,"Gen X",IF(Table2[[#This Row],[Usia]]&gt;=56,"Baby Boomer"))))</f>
        <v>Gen X</v>
      </c>
      <c r="L19" t="s">
        <v>33</v>
      </c>
      <c r="M19">
        <v>2.4300000000000002</v>
      </c>
      <c r="N19">
        <v>3.08</v>
      </c>
      <c r="O19">
        <v>3.97</v>
      </c>
      <c r="P19">
        <v>1.0900000000000001</v>
      </c>
      <c r="Q19">
        <v>4.3</v>
      </c>
      <c r="R19">
        <v>2.2599999999999998</v>
      </c>
      <c r="S19">
        <v>1.89</v>
      </c>
      <c r="T19">
        <v>3.04</v>
      </c>
      <c r="U19">
        <v>4.28</v>
      </c>
      <c r="V19">
        <v>2.5099999999999998</v>
      </c>
      <c r="W19">
        <v>2.82</v>
      </c>
      <c r="X19">
        <v>3.38</v>
      </c>
      <c r="Y19" s="3">
        <f>AVERAGE(Table2[[#This Row],[Jan]:[Dec]])</f>
        <v>2.9208333333333338</v>
      </c>
      <c r="Z19" t="str">
        <f>IF(Table2[[#This Row],[Average]]&lt;3,"Low",IF(Table2[[#This Row],[Average]]&lt;=4,"Med",IF(Table2[[#This Row],[Average]]&gt;4,"High")))</f>
        <v>Low</v>
      </c>
    </row>
    <row r="20" spans="1:26" x14ac:dyDescent="0.25">
      <c r="A20">
        <v>168490</v>
      </c>
      <c r="B20" t="s">
        <v>55</v>
      </c>
      <c r="C20" t="s">
        <v>32</v>
      </c>
      <c r="D20" t="s">
        <v>24</v>
      </c>
      <c r="E20" t="s">
        <v>165</v>
      </c>
      <c r="F20" t="s">
        <v>35</v>
      </c>
      <c r="G20" t="s">
        <v>29</v>
      </c>
      <c r="H20" s="1">
        <v>35056</v>
      </c>
      <c r="I20" s="1">
        <v>44485</v>
      </c>
      <c r="J20" s="2">
        <f ca="1">DATEDIF(Table2[[#This Row],[Tanggal Lahir]],NOW(),"Y")</f>
        <v>30</v>
      </c>
      <c r="K20" s="1" t="str">
        <f ca="1">IF(Table2[[#This Row],[Usia]]&lt;25,"Gen Z",IF(Table2[[#This Row],[Usia]]&lt;40,"Gen Y",IF(Table2[[#This Row],[Usia]]&lt;56,"Gen X",IF(Table2[[#This Row],[Usia]]&gt;=56,"Baby Boomer"))))</f>
        <v>Gen Y</v>
      </c>
      <c r="L20" t="s">
        <v>33</v>
      </c>
      <c r="M20">
        <v>1.18</v>
      </c>
      <c r="N20">
        <v>3.47</v>
      </c>
      <c r="O20">
        <v>1.19</v>
      </c>
      <c r="P20">
        <v>3.92</v>
      </c>
      <c r="Q20">
        <v>2.11</v>
      </c>
      <c r="R20">
        <v>4.76</v>
      </c>
      <c r="S20">
        <v>2.29</v>
      </c>
      <c r="T20">
        <v>4.29</v>
      </c>
      <c r="U20">
        <v>4.47</v>
      </c>
      <c r="V20">
        <v>4.38</v>
      </c>
      <c r="W20">
        <v>2.0699999999999998</v>
      </c>
      <c r="X20">
        <v>4.3899999999999997</v>
      </c>
      <c r="Y20" s="3">
        <f>AVERAGE(Table2[[#This Row],[Jan]:[Dec]])</f>
        <v>3.2099999999999995</v>
      </c>
      <c r="Z20" t="str">
        <f>IF(Table2[[#This Row],[Average]]&lt;3,"Low",IF(Table2[[#This Row],[Average]]&lt;=4,"Med",IF(Table2[[#This Row],[Average]]&gt;4,"High")))</f>
        <v>Med</v>
      </c>
    </row>
    <row r="21" spans="1:26" x14ac:dyDescent="0.25">
      <c r="A21">
        <v>171650</v>
      </c>
      <c r="B21" t="s">
        <v>56</v>
      </c>
      <c r="C21" t="s">
        <v>23</v>
      </c>
      <c r="D21" t="s">
        <v>24</v>
      </c>
      <c r="E21" t="s">
        <v>164</v>
      </c>
      <c r="F21" t="s">
        <v>25</v>
      </c>
      <c r="G21" t="s">
        <v>26</v>
      </c>
      <c r="H21" s="1">
        <v>30042</v>
      </c>
      <c r="I21" s="1">
        <v>41110</v>
      </c>
      <c r="J21" s="2">
        <f ca="1">DATEDIF(Table2[[#This Row],[Tanggal Lahir]],NOW(),"Y")</f>
        <v>44</v>
      </c>
      <c r="K21" s="1" t="str">
        <f ca="1">IF(Table2[[#This Row],[Usia]]&lt;25,"Gen Z",IF(Table2[[#This Row],[Usia]]&lt;40,"Gen Y",IF(Table2[[#This Row],[Usia]]&lt;56,"Gen X",IF(Table2[[#This Row],[Usia]]&gt;=56,"Baby Boomer"))))</f>
        <v>Gen X</v>
      </c>
      <c r="L21" t="s">
        <v>30</v>
      </c>
      <c r="M21">
        <v>1.61</v>
      </c>
      <c r="N21">
        <v>4.95</v>
      </c>
      <c r="O21">
        <v>3.74</v>
      </c>
      <c r="P21">
        <v>4.58</v>
      </c>
      <c r="Q21">
        <v>3.6</v>
      </c>
      <c r="R21">
        <v>1.95</v>
      </c>
      <c r="S21">
        <v>2.36</v>
      </c>
      <c r="T21">
        <v>2.94</v>
      </c>
      <c r="U21">
        <v>1.97</v>
      </c>
      <c r="V21">
        <v>1.1499999999999999</v>
      </c>
      <c r="W21">
        <v>3.53</v>
      </c>
      <c r="X21">
        <v>2.74</v>
      </c>
      <c r="Y21" s="3">
        <f>AVERAGE(Table2[[#This Row],[Jan]:[Dec]])</f>
        <v>2.9266666666666663</v>
      </c>
      <c r="Z21" t="str">
        <f>IF(Table2[[#This Row],[Average]]&lt;3,"Low",IF(Table2[[#This Row],[Average]]&lt;=4,"Med",IF(Table2[[#This Row],[Average]]&gt;4,"High")))</f>
        <v>Low</v>
      </c>
    </row>
    <row r="22" spans="1:26" x14ac:dyDescent="0.25">
      <c r="A22">
        <v>173975</v>
      </c>
      <c r="B22" t="s">
        <v>57</v>
      </c>
      <c r="C22" t="s">
        <v>32</v>
      </c>
      <c r="D22" t="s">
        <v>24</v>
      </c>
      <c r="E22" t="s">
        <v>165</v>
      </c>
      <c r="F22" t="s">
        <v>35</v>
      </c>
      <c r="G22" t="s">
        <v>29</v>
      </c>
      <c r="H22" s="1">
        <v>34548</v>
      </c>
      <c r="I22" s="1">
        <v>44758</v>
      </c>
      <c r="J22" s="2">
        <f ca="1">DATEDIF(Table2[[#This Row],[Tanggal Lahir]],NOW(),"Y")</f>
        <v>32</v>
      </c>
      <c r="K22" s="1" t="str">
        <f ca="1">IF(Table2[[#This Row],[Usia]]&lt;25,"Gen Z",IF(Table2[[#This Row],[Usia]]&lt;40,"Gen Y",IF(Table2[[#This Row],[Usia]]&lt;56,"Gen X",IF(Table2[[#This Row],[Usia]]&gt;=56,"Baby Boomer"))))</f>
        <v>Gen Y</v>
      </c>
      <c r="L22" t="s">
        <v>30</v>
      </c>
      <c r="M22">
        <v>1.79</v>
      </c>
      <c r="N22">
        <v>3.07</v>
      </c>
      <c r="O22">
        <v>1</v>
      </c>
      <c r="P22">
        <v>1.67</v>
      </c>
      <c r="Q22">
        <v>1.58</v>
      </c>
      <c r="R22">
        <v>3.63</v>
      </c>
      <c r="S22">
        <v>4.6100000000000003</v>
      </c>
      <c r="T22">
        <v>3.79</v>
      </c>
      <c r="U22">
        <v>1.71</v>
      </c>
      <c r="V22">
        <v>4.1900000000000004</v>
      </c>
      <c r="W22">
        <v>2.25</v>
      </c>
      <c r="X22">
        <v>4.72</v>
      </c>
      <c r="Y22" s="3">
        <f>AVERAGE(Table2[[#This Row],[Jan]:[Dec]])</f>
        <v>2.8341666666666665</v>
      </c>
      <c r="Z22" t="str">
        <f>IF(Table2[[#This Row],[Average]]&lt;3,"Low",IF(Table2[[#This Row],[Average]]&lt;=4,"Med",IF(Table2[[#This Row],[Average]]&gt;4,"High")))</f>
        <v>Low</v>
      </c>
    </row>
    <row r="23" spans="1:26" x14ac:dyDescent="0.25">
      <c r="A23">
        <v>175268</v>
      </c>
      <c r="B23" t="s">
        <v>58</v>
      </c>
      <c r="C23" t="s">
        <v>41</v>
      </c>
      <c r="D23" t="s">
        <v>24</v>
      </c>
      <c r="E23" t="s">
        <v>164</v>
      </c>
      <c r="F23" t="s">
        <v>35</v>
      </c>
      <c r="G23" t="s">
        <v>29</v>
      </c>
      <c r="H23" s="1">
        <v>33153</v>
      </c>
      <c r="I23" s="1">
        <v>44013</v>
      </c>
      <c r="J23" s="2">
        <f ca="1">DATEDIF(Table2[[#This Row],[Tanggal Lahir]],NOW(),"Y")</f>
        <v>35</v>
      </c>
      <c r="K23" s="1" t="str">
        <f ca="1">IF(Table2[[#This Row],[Usia]]&lt;25,"Gen Z",IF(Table2[[#This Row],[Usia]]&lt;40,"Gen Y",IF(Table2[[#This Row],[Usia]]&lt;56,"Gen X",IF(Table2[[#This Row],[Usia]]&gt;=56,"Baby Boomer"))))</f>
        <v>Gen Y</v>
      </c>
      <c r="L23" t="s">
        <v>33</v>
      </c>
      <c r="M23">
        <v>1.43</v>
      </c>
      <c r="N23">
        <v>1.51</v>
      </c>
      <c r="O23">
        <v>2.79</v>
      </c>
      <c r="P23">
        <v>1.64</v>
      </c>
      <c r="Q23">
        <v>4.55</v>
      </c>
      <c r="R23">
        <v>1.65</v>
      </c>
      <c r="S23">
        <v>2.0099999999999998</v>
      </c>
      <c r="T23">
        <v>2.2400000000000002</v>
      </c>
      <c r="U23">
        <v>1.42</v>
      </c>
      <c r="V23">
        <v>1.1499999999999999</v>
      </c>
      <c r="W23">
        <v>1.97</v>
      </c>
      <c r="X23">
        <v>3.51</v>
      </c>
      <c r="Y23" s="3">
        <f>AVERAGE(Table2[[#This Row],[Jan]:[Dec]])</f>
        <v>2.1558333333333333</v>
      </c>
      <c r="Z23" t="str">
        <f>IF(Table2[[#This Row],[Average]]&lt;3,"Low",IF(Table2[[#This Row],[Average]]&lt;=4,"Med",IF(Table2[[#This Row],[Average]]&gt;4,"High")))</f>
        <v>Low</v>
      </c>
    </row>
    <row r="24" spans="1:26" x14ac:dyDescent="0.25">
      <c r="A24">
        <v>175863</v>
      </c>
      <c r="B24" t="s">
        <v>59</v>
      </c>
      <c r="C24" t="s">
        <v>23</v>
      </c>
      <c r="D24" t="s">
        <v>24</v>
      </c>
      <c r="E24" t="s">
        <v>164</v>
      </c>
      <c r="F24" t="s">
        <v>25</v>
      </c>
      <c r="G24" t="s">
        <v>26</v>
      </c>
      <c r="H24" s="1">
        <v>32835</v>
      </c>
      <c r="I24" s="1">
        <v>42064</v>
      </c>
      <c r="J24" s="2">
        <f ca="1">DATEDIF(Table2[[#This Row],[Tanggal Lahir]],NOW(),"Y")</f>
        <v>36</v>
      </c>
      <c r="K24" s="1" t="str">
        <f ca="1">IF(Table2[[#This Row],[Usia]]&lt;25,"Gen Z",IF(Table2[[#This Row],[Usia]]&lt;40,"Gen Y",IF(Table2[[#This Row],[Usia]]&lt;56,"Gen X",IF(Table2[[#This Row],[Usia]]&gt;=56,"Baby Boomer"))))</f>
        <v>Gen Y</v>
      </c>
      <c r="L24" t="s">
        <v>33</v>
      </c>
      <c r="M24">
        <v>4.53</v>
      </c>
      <c r="N24">
        <v>1.86</v>
      </c>
      <c r="O24">
        <v>2.72</v>
      </c>
      <c r="P24">
        <v>4.38</v>
      </c>
      <c r="Q24">
        <v>3.33</v>
      </c>
      <c r="R24">
        <v>2.82</v>
      </c>
      <c r="S24">
        <v>3.33</v>
      </c>
      <c r="T24">
        <v>2.1800000000000002</v>
      </c>
      <c r="U24">
        <v>2.7</v>
      </c>
      <c r="V24">
        <v>4.26</v>
      </c>
      <c r="W24">
        <v>4.8099999999999996</v>
      </c>
      <c r="X24">
        <v>2.62</v>
      </c>
      <c r="Y24" s="3">
        <f>AVERAGE(Table2[[#This Row],[Jan]:[Dec]])</f>
        <v>3.2949999999999999</v>
      </c>
      <c r="Z24" t="str">
        <f>IF(Table2[[#This Row],[Average]]&lt;3,"Low",IF(Table2[[#This Row],[Average]]&lt;=4,"Med",IF(Table2[[#This Row],[Average]]&gt;4,"High")))</f>
        <v>Med</v>
      </c>
    </row>
    <row r="25" spans="1:26" x14ac:dyDescent="0.25">
      <c r="A25">
        <v>176873</v>
      </c>
      <c r="B25" t="s">
        <v>60</v>
      </c>
      <c r="C25" t="s">
        <v>23</v>
      </c>
      <c r="D25" t="s">
        <v>24</v>
      </c>
      <c r="E25" t="s">
        <v>164</v>
      </c>
      <c r="F25" t="s">
        <v>25</v>
      </c>
      <c r="G25" t="s">
        <v>26</v>
      </c>
      <c r="H25" s="1">
        <v>34034</v>
      </c>
      <c r="I25" s="1">
        <v>42217</v>
      </c>
      <c r="J25" s="2">
        <f ca="1">DATEDIF(Table2[[#This Row],[Tanggal Lahir]],NOW(),"Y")</f>
        <v>33</v>
      </c>
      <c r="K25" s="1" t="str">
        <f ca="1">IF(Table2[[#This Row],[Usia]]&lt;25,"Gen Z",IF(Table2[[#This Row],[Usia]]&lt;40,"Gen Y",IF(Table2[[#This Row],[Usia]]&lt;56,"Gen X",IF(Table2[[#This Row],[Usia]]&gt;=56,"Baby Boomer"))))</f>
        <v>Gen Y</v>
      </c>
      <c r="L25" t="s">
        <v>33</v>
      </c>
      <c r="M25">
        <v>2.19</v>
      </c>
      <c r="N25">
        <v>1.37</v>
      </c>
      <c r="O25">
        <v>1.66</v>
      </c>
      <c r="P25">
        <v>4.45</v>
      </c>
      <c r="Q25">
        <v>4.8899999999999997</v>
      </c>
      <c r="R25">
        <v>4.43</v>
      </c>
      <c r="S25">
        <v>3.72</v>
      </c>
      <c r="T25">
        <v>4.1399999999999997</v>
      </c>
      <c r="U25">
        <v>2.65</v>
      </c>
      <c r="V25">
        <v>1.79</v>
      </c>
      <c r="W25">
        <v>2.2999999999999998</v>
      </c>
      <c r="X25">
        <v>1.46</v>
      </c>
      <c r="Y25" s="3">
        <f>AVERAGE(Table2[[#This Row],[Jan]:[Dec]])</f>
        <v>2.9208333333333329</v>
      </c>
      <c r="Z25" t="str">
        <f>IF(Table2[[#This Row],[Average]]&lt;3,"Low",IF(Table2[[#This Row],[Average]]&lt;=4,"Med",IF(Table2[[#This Row],[Average]]&gt;4,"High")))</f>
        <v>Low</v>
      </c>
    </row>
    <row r="26" spans="1:26" x14ac:dyDescent="0.25">
      <c r="A26">
        <v>180840</v>
      </c>
      <c r="B26" t="s">
        <v>61</v>
      </c>
      <c r="C26" t="s">
        <v>23</v>
      </c>
      <c r="D26" t="s">
        <v>24</v>
      </c>
      <c r="E26" t="s">
        <v>164</v>
      </c>
      <c r="F26" t="s">
        <v>35</v>
      </c>
      <c r="G26" t="s">
        <v>26</v>
      </c>
      <c r="H26" s="1">
        <v>34464</v>
      </c>
      <c r="I26" s="1">
        <v>44501</v>
      </c>
      <c r="J26" s="2">
        <f ca="1">DATEDIF(Table2[[#This Row],[Tanggal Lahir]],NOW(),"Y")</f>
        <v>32</v>
      </c>
      <c r="K26" s="1" t="str">
        <f ca="1">IF(Table2[[#This Row],[Usia]]&lt;25,"Gen Z",IF(Table2[[#This Row],[Usia]]&lt;40,"Gen Y",IF(Table2[[#This Row],[Usia]]&lt;56,"Gen X",IF(Table2[[#This Row],[Usia]]&gt;=56,"Baby Boomer"))))</f>
        <v>Gen Y</v>
      </c>
      <c r="L26" t="s">
        <v>33</v>
      </c>
      <c r="M26">
        <v>1.71</v>
      </c>
      <c r="N26">
        <v>3.8</v>
      </c>
      <c r="O26">
        <v>1.46</v>
      </c>
      <c r="P26">
        <v>1.43</v>
      </c>
      <c r="Q26">
        <v>1.6</v>
      </c>
      <c r="R26">
        <v>4.3499999999999996</v>
      </c>
      <c r="S26">
        <v>2.21</v>
      </c>
      <c r="T26">
        <v>1.02</v>
      </c>
      <c r="U26">
        <v>1.83</v>
      </c>
      <c r="V26">
        <v>1.52</v>
      </c>
      <c r="W26">
        <v>3.12</v>
      </c>
      <c r="X26">
        <v>1.22</v>
      </c>
      <c r="Y26" s="3">
        <f>AVERAGE(Table2[[#This Row],[Jan]:[Dec]])</f>
        <v>2.105833333333333</v>
      </c>
      <c r="Z26" t="str">
        <f>IF(Table2[[#This Row],[Average]]&lt;3,"Low",IF(Table2[[#This Row],[Average]]&lt;=4,"Med",IF(Table2[[#This Row],[Average]]&gt;4,"High")))</f>
        <v>Low</v>
      </c>
    </row>
    <row r="27" spans="1:26" x14ac:dyDescent="0.25">
      <c r="A27">
        <v>183726</v>
      </c>
      <c r="B27" t="s">
        <v>62</v>
      </c>
      <c r="C27" t="s">
        <v>23</v>
      </c>
      <c r="D27" t="s">
        <v>24</v>
      </c>
      <c r="E27" t="s">
        <v>164</v>
      </c>
      <c r="F27" t="s">
        <v>25</v>
      </c>
      <c r="G27" t="s">
        <v>26</v>
      </c>
      <c r="H27" s="1">
        <v>35018</v>
      </c>
      <c r="I27" s="1">
        <v>43040</v>
      </c>
      <c r="J27" s="2">
        <f ca="1">DATEDIF(Table2[[#This Row],[Tanggal Lahir]],NOW(),"Y")</f>
        <v>30</v>
      </c>
      <c r="K27" s="1" t="str">
        <f ca="1">IF(Table2[[#This Row],[Usia]]&lt;25,"Gen Z",IF(Table2[[#This Row],[Usia]]&lt;40,"Gen Y",IF(Table2[[#This Row],[Usia]]&lt;56,"Gen X",IF(Table2[[#This Row],[Usia]]&gt;=56,"Baby Boomer"))))</f>
        <v>Gen Y</v>
      </c>
      <c r="L27" t="s">
        <v>33</v>
      </c>
      <c r="M27">
        <v>2.29</v>
      </c>
      <c r="N27">
        <v>1.01</v>
      </c>
      <c r="O27">
        <v>4.05</v>
      </c>
      <c r="P27">
        <v>2.84</v>
      </c>
      <c r="Q27">
        <v>4.75</v>
      </c>
      <c r="R27">
        <v>3.12</v>
      </c>
      <c r="S27">
        <v>4.6900000000000004</v>
      </c>
      <c r="T27">
        <v>3.47</v>
      </c>
      <c r="U27">
        <v>3.36</v>
      </c>
      <c r="V27">
        <v>4.8600000000000003</v>
      </c>
      <c r="W27">
        <v>3.85</v>
      </c>
      <c r="X27">
        <v>2.34</v>
      </c>
      <c r="Y27" s="3">
        <f>AVERAGE(Table2[[#This Row],[Jan]:[Dec]])</f>
        <v>3.3858333333333328</v>
      </c>
      <c r="Z27" t="str">
        <f>IF(Table2[[#This Row],[Average]]&lt;3,"Low",IF(Table2[[#This Row],[Average]]&lt;=4,"Med",IF(Table2[[#This Row],[Average]]&gt;4,"High")))</f>
        <v>Med</v>
      </c>
    </row>
    <row r="28" spans="1:26" x14ac:dyDescent="0.25">
      <c r="A28">
        <v>184747</v>
      </c>
      <c r="B28" t="s">
        <v>63</v>
      </c>
      <c r="C28" t="s">
        <v>23</v>
      </c>
      <c r="D28" t="s">
        <v>38</v>
      </c>
      <c r="E28" t="s">
        <v>165</v>
      </c>
      <c r="F28" t="s">
        <v>25</v>
      </c>
      <c r="G28" t="s">
        <v>29</v>
      </c>
      <c r="H28" s="1">
        <v>31530</v>
      </c>
      <c r="I28" s="1">
        <v>40350</v>
      </c>
      <c r="J28" s="2">
        <f ca="1">DATEDIF(Table2[[#This Row],[Tanggal Lahir]],NOW(),"Y")</f>
        <v>40</v>
      </c>
      <c r="K28" s="1" t="str">
        <f ca="1">IF(Table2[[#This Row],[Usia]]&lt;25,"Gen Z",IF(Table2[[#This Row],[Usia]]&lt;40,"Gen Y",IF(Table2[[#This Row],[Usia]]&lt;56,"Gen X",IF(Table2[[#This Row],[Usia]]&gt;=56,"Baby Boomer"))))</f>
        <v>Gen X</v>
      </c>
      <c r="L28" t="s">
        <v>33</v>
      </c>
      <c r="M28">
        <v>1.18</v>
      </c>
      <c r="N28">
        <v>3.55</v>
      </c>
      <c r="O28">
        <v>4.51</v>
      </c>
      <c r="P28">
        <v>2.38</v>
      </c>
      <c r="Q28">
        <v>1.08</v>
      </c>
      <c r="R28">
        <v>3.35</v>
      </c>
      <c r="S28">
        <v>1.55</v>
      </c>
      <c r="T28">
        <v>2.2000000000000002</v>
      </c>
      <c r="U28">
        <v>3.97</v>
      </c>
      <c r="V28">
        <v>4</v>
      </c>
      <c r="W28">
        <v>3.7</v>
      </c>
      <c r="X28">
        <v>2.52</v>
      </c>
      <c r="Y28" s="3">
        <f>AVERAGE(Table2[[#This Row],[Jan]:[Dec]])</f>
        <v>2.8324999999999996</v>
      </c>
      <c r="Z28" t="str">
        <f>IF(Table2[[#This Row],[Average]]&lt;3,"Low",IF(Table2[[#This Row],[Average]]&lt;=4,"Med",IF(Table2[[#This Row],[Average]]&gt;4,"High")))</f>
        <v>Low</v>
      </c>
    </row>
    <row r="29" spans="1:26" x14ac:dyDescent="0.25">
      <c r="A29">
        <v>186935</v>
      </c>
      <c r="B29" t="s">
        <v>64</v>
      </c>
      <c r="C29" t="s">
        <v>23</v>
      </c>
      <c r="D29" t="s">
        <v>24</v>
      </c>
      <c r="E29" t="s">
        <v>164</v>
      </c>
      <c r="F29" t="s">
        <v>25</v>
      </c>
      <c r="G29" t="s">
        <v>26</v>
      </c>
      <c r="H29" s="1">
        <v>30490</v>
      </c>
      <c r="I29" s="1">
        <v>40182</v>
      </c>
      <c r="J29" s="2">
        <f ca="1">DATEDIF(Table2[[#This Row],[Tanggal Lahir]],NOW(),"Y")</f>
        <v>43</v>
      </c>
      <c r="K29" s="1" t="str">
        <f ca="1">IF(Table2[[#This Row],[Usia]]&lt;25,"Gen Z",IF(Table2[[#This Row],[Usia]]&lt;40,"Gen Y",IF(Table2[[#This Row],[Usia]]&lt;56,"Gen X",IF(Table2[[#This Row],[Usia]]&gt;=56,"Baby Boomer"))))</f>
        <v>Gen X</v>
      </c>
      <c r="L29" t="s">
        <v>30</v>
      </c>
      <c r="M29">
        <v>1.45</v>
      </c>
      <c r="N29">
        <v>2.9</v>
      </c>
      <c r="O29">
        <v>3.51</v>
      </c>
      <c r="P29">
        <v>3.07</v>
      </c>
      <c r="Q29">
        <v>2.19</v>
      </c>
      <c r="R29">
        <v>4.99</v>
      </c>
      <c r="S29">
        <v>4.87</v>
      </c>
      <c r="T29">
        <v>4.6399999999999997</v>
      </c>
      <c r="U29">
        <v>1.1299999999999999</v>
      </c>
      <c r="V29">
        <v>2.9</v>
      </c>
      <c r="W29">
        <v>1.39</v>
      </c>
      <c r="X29">
        <v>2.96</v>
      </c>
      <c r="Y29" s="3">
        <f>AVERAGE(Table2[[#This Row],[Jan]:[Dec]])</f>
        <v>3</v>
      </c>
      <c r="Z29" t="str">
        <f>IF(Table2[[#This Row],[Average]]&lt;3,"Low",IF(Table2[[#This Row],[Average]]&lt;=4,"Med",IF(Table2[[#This Row],[Average]]&gt;4,"High")))</f>
        <v>Med</v>
      </c>
    </row>
    <row r="30" spans="1:26" x14ac:dyDescent="0.25">
      <c r="A30">
        <v>187577</v>
      </c>
      <c r="B30" t="s">
        <v>65</v>
      </c>
      <c r="C30" t="s">
        <v>23</v>
      </c>
      <c r="D30" t="s">
        <v>24</v>
      </c>
      <c r="E30" t="s">
        <v>164</v>
      </c>
      <c r="F30" t="s">
        <v>25</v>
      </c>
      <c r="G30" t="s">
        <v>26</v>
      </c>
      <c r="H30" s="1">
        <v>34957</v>
      </c>
      <c r="I30" s="1">
        <v>43101</v>
      </c>
      <c r="J30" s="2">
        <f ca="1">DATEDIF(Table2[[#This Row],[Tanggal Lahir]],NOW(),"Y")</f>
        <v>30</v>
      </c>
      <c r="K30" s="1" t="str">
        <f ca="1">IF(Table2[[#This Row],[Usia]]&lt;25,"Gen Z",IF(Table2[[#This Row],[Usia]]&lt;40,"Gen Y",IF(Table2[[#This Row],[Usia]]&lt;56,"Gen X",IF(Table2[[#This Row],[Usia]]&gt;=56,"Baby Boomer"))))</f>
        <v>Gen Y</v>
      </c>
      <c r="L30" t="s">
        <v>33</v>
      </c>
      <c r="M30">
        <v>2.87</v>
      </c>
      <c r="N30">
        <v>2.61</v>
      </c>
      <c r="O30">
        <v>2.02</v>
      </c>
      <c r="P30">
        <v>4.0599999999999996</v>
      </c>
      <c r="Q30">
        <v>2.1</v>
      </c>
      <c r="R30">
        <v>1.91</v>
      </c>
      <c r="S30">
        <v>3.95</v>
      </c>
      <c r="T30">
        <v>4.71</v>
      </c>
      <c r="U30">
        <v>3.14</v>
      </c>
      <c r="V30">
        <v>4.4000000000000004</v>
      </c>
      <c r="W30">
        <v>3.01</v>
      </c>
      <c r="X30">
        <v>2.2400000000000002</v>
      </c>
      <c r="Y30" s="3">
        <f>AVERAGE(Table2[[#This Row],[Jan]:[Dec]])</f>
        <v>3.0850000000000004</v>
      </c>
      <c r="Z30" t="str">
        <f>IF(Table2[[#This Row],[Average]]&lt;3,"Low",IF(Table2[[#This Row],[Average]]&lt;=4,"Med",IF(Table2[[#This Row],[Average]]&gt;4,"High")))</f>
        <v>Med</v>
      </c>
    </row>
    <row r="31" spans="1:26" x14ac:dyDescent="0.25">
      <c r="A31">
        <v>190895</v>
      </c>
      <c r="B31" t="s">
        <v>66</v>
      </c>
      <c r="C31" t="s">
        <v>23</v>
      </c>
      <c r="D31" t="s">
        <v>24</v>
      </c>
      <c r="E31" t="s">
        <v>164</v>
      </c>
      <c r="F31" t="s">
        <v>25</v>
      </c>
      <c r="G31" t="s">
        <v>29</v>
      </c>
      <c r="H31" s="1">
        <v>31954</v>
      </c>
      <c r="I31" s="1">
        <v>42461</v>
      </c>
      <c r="J31" s="2">
        <f ca="1">DATEDIF(Table2[[#This Row],[Tanggal Lahir]],NOW(),"Y")</f>
        <v>39</v>
      </c>
      <c r="K31" s="1" t="str">
        <f ca="1">IF(Table2[[#This Row],[Usia]]&lt;25,"Gen Z",IF(Table2[[#This Row],[Usia]]&lt;40,"Gen Y",IF(Table2[[#This Row],[Usia]]&lt;56,"Gen X",IF(Table2[[#This Row],[Usia]]&gt;=56,"Baby Boomer"))))</f>
        <v>Gen Y</v>
      </c>
      <c r="L31" t="s">
        <v>33</v>
      </c>
      <c r="M31">
        <v>2.72</v>
      </c>
      <c r="N31">
        <v>3.88</v>
      </c>
      <c r="O31">
        <v>1.88</v>
      </c>
      <c r="P31">
        <v>2.38</v>
      </c>
      <c r="Q31">
        <v>4.47</v>
      </c>
      <c r="R31">
        <v>3.85</v>
      </c>
      <c r="S31">
        <v>4.93</v>
      </c>
      <c r="T31">
        <v>2.48</v>
      </c>
      <c r="U31">
        <v>3.29</v>
      </c>
      <c r="V31">
        <v>1.33</v>
      </c>
      <c r="W31">
        <v>3.2</v>
      </c>
      <c r="X31">
        <v>1.75</v>
      </c>
      <c r="Y31" s="3">
        <f>AVERAGE(Table2[[#This Row],[Jan]:[Dec]])</f>
        <v>3.0133333333333336</v>
      </c>
      <c r="Z31" t="str">
        <f>IF(Table2[[#This Row],[Average]]&lt;3,"Low",IF(Table2[[#This Row],[Average]]&lt;=4,"Med",IF(Table2[[#This Row],[Average]]&gt;4,"High")))</f>
        <v>Med</v>
      </c>
    </row>
    <row r="32" spans="1:26" x14ac:dyDescent="0.25">
      <c r="A32">
        <v>192260</v>
      </c>
      <c r="B32" t="s">
        <v>67</v>
      </c>
      <c r="C32" t="s">
        <v>41</v>
      </c>
      <c r="D32" t="s">
        <v>24</v>
      </c>
      <c r="E32" t="s">
        <v>165</v>
      </c>
      <c r="F32" t="s">
        <v>35</v>
      </c>
      <c r="G32" t="s">
        <v>26</v>
      </c>
      <c r="H32" s="1">
        <v>32404</v>
      </c>
      <c r="I32" s="1">
        <v>43831</v>
      </c>
      <c r="J32" s="2">
        <f ca="1">DATEDIF(Table2[[#This Row],[Tanggal Lahir]],NOW(),"Y")</f>
        <v>37</v>
      </c>
      <c r="K32" s="1" t="str">
        <f ca="1">IF(Table2[[#This Row],[Usia]]&lt;25,"Gen Z",IF(Table2[[#This Row],[Usia]]&lt;40,"Gen Y",IF(Table2[[#This Row],[Usia]]&lt;56,"Gen X",IF(Table2[[#This Row],[Usia]]&gt;=56,"Baby Boomer"))))</f>
        <v>Gen Y</v>
      </c>
      <c r="L32" t="s">
        <v>33</v>
      </c>
      <c r="M32">
        <v>3.34</v>
      </c>
      <c r="N32">
        <v>4.41</v>
      </c>
      <c r="O32">
        <v>2.2999999999999998</v>
      </c>
      <c r="P32">
        <v>3.65</v>
      </c>
      <c r="Q32">
        <v>3.72</v>
      </c>
      <c r="R32">
        <v>1.53</v>
      </c>
      <c r="S32">
        <v>4.72</v>
      </c>
      <c r="T32">
        <v>1.07</v>
      </c>
      <c r="U32">
        <v>3.91</v>
      </c>
      <c r="V32">
        <v>4.4800000000000004</v>
      </c>
      <c r="W32">
        <v>2.1800000000000002</v>
      </c>
      <c r="X32">
        <v>1.1399999999999999</v>
      </c>
      <c r="Y32" s="3">
        <f>AVERAGE(Table2[[#This Row],[Jan]:[Dec]])</f>
        <v>3.0375000000000001</v>
      </c>
      <c r="Z32" t="str">
        <f>IF(Table2[[#This Row],[Average]]&lt;3,"Low",IF(Table2[[#This Row],[Average]]&lt;=4,"Med",IF(Table2[[#This Row],[Average]]&gt;4,"High")))</f>
        <v>Med</v>
      </c>
    </row>
    <row r="33" spans="1:26" x14ac:dyDescent="0.25">
      <c r="A33">
        <v>199475</v>
      </c>
      <c r="B33" t="s">
        <v>68</v>
      </c>
      <c r="C33" t="s">
        <v>23</v>
      </c>
      <c r="D33" t="s">
        <v>38</v>
      </c>
      <c r="E33" t="s">
        <v>164</v>
      </c>
      <c r="F33" t="s">
        <v>25</v>
      </c>
      <c r="G33" t="s">
        <v>26</v>
      </c>
      <c r="H33" s="1">
        <v>33347</v>
      </c>
      <c r="I33" s="1">
        <v>42093</v>
      </c>
      <c r="J33" s="2">
        <f ca="1">DATEDIF(Table2[[#This Row],[Tanggal Lahir]],NOW(),"Y")</f>
        <v>35</v>
      </c>
      <c r="K33" s="1" t="str">
        <f ca="1">IF(Table2[[#This Row],[Usia]]&lt;25,"Gen Z",IF(Table2[[#This Row],[Usia]]&lt;40,"Gen Y",IF(Table2[[#This Row],[Usia]]&lt;56,"Gen X",IF(Table2[[#This Row],[Usia]]&gt;=56,"Baby Boomer"))))</f>
        <v>Gen Y</v>
      </c>
      <c r="L33" t="s">
        <v>33</v>
      </c>
      <c r="M33">
        <v>2.29</v>
      </c>
      <c r="N33">
        <v>4.9000000000000004</v>
      </c>
      <c r="O33">
        <v>3.77</v>
      </c>
      <c r="P33">
        <v>1.51</v>
      </c>
      <c r="Q33">
        <v>2.96</v>
      </c>
      <c r="R33">
        <v>3.94</v>
      </c>
      <c r="S33">
        <v>1.42</v>
      </c>
      <c r="T33">
        <v>3.73</v>
      </c>
      <c r="U33">
        <v>4.9000000000000004</v>
      </c>
      <c r="V33">
        <v>3.02</v>
      </c>
      <c r="W33">
        <v>1.6</v>
      </c>
      <c r="X33">
        <v>1.86</v>
      </c>
      <c r="Y33" s="3">
        <f>AVERAGE(Table2[[#This Row],[Jan]:[Dec]])</f>
        <v>2.9916666666666671</v>
      </c>
      <c r="Z33" t="str">
        <f>IF(Table2[[#This Row],[Average]]&lt;3,"Low",IF(Table2[[#This Row],[Average]]&lt;=4,"Med",IF(Table2[[#This Row],[Average]]&gt;4,"High")))</f>
        <v>Low</v>
      </c>
    </row>
    <row r="34" spans="1:26" x14ac:dyDescent="0.25">
      <c r="A34">
        <v>199685</v>
      </c>
      <c r="B34" t="s">
        <v>69</v>
      </c>
      <c r="C34" t="s">
        <v>23</v>
      </c>
      <c r="D34" t="s">
        <v>24</v>
      </c>
      <c r="E34" t="s">
        <v>164</v>
      </c>
      <c r="F34" t="s">
        <v>35</v>
      </c>
      <c r="G34" t="s">
        <v>26</v>
      </c>
      <c r="H34" s="1">
        <v>32915</v>
      </c>
      <c r="I34" s="1">
        <v>44166</v>
      </c>
      <c r="J34" s="2">
        <f ca="1">DATEDIF(Table2[[#This Row],[Tanggal Lahir]],NOW(),"Y")</f>
        <v>36</v>
      </c>
      <c r="K34" s="1" t="str">
        <f ca="1">IF(Table2[[#This Row],[Usia]]&lt;25,"Gen Z",IF(Table2[[#This Row],[Usia]]&lt;40,"Gen Y",IF(Table2[[#This Row],[Usia]]&lt;56,"Gen X",IF(Table2[[#This Row],[Usia]]&gt;=56,"Baby Boomer"))))</f>
        <v>Gen Y</v>
      </c>
      <c r="L34" t="s">
        <v>33</v>
      </c>
      <c r="M34">
        <v>4.83</v>
      </c>
      <c r="N34">
        <v>4.75</v>
      </c>
      <c r="O34">
        <v>2.65</v>
      </c>
      <c r="P34">
        <v>4.63</v>
      </c>
      <c r="Q34">
        <v>2.67</v>
      </c>
      <c r="R34">
        <v>2.96</v>
      </c>
      <c r="S34">
        <v>4.63</v>
      </c>
      <c r="T34">
        <v>1.62</v>
      </c>
      <c r="U34">
        <v>3.55</v>
      </c>
      <c r="V34">
        <v>1.91</v>
      </c>
      <c r="W34">
        <v>2.08</v>
      </c>
      <c r="X34">
        <v>3.92</v>
      </c>
      <c r="Y34" s="3">
        <f>AVERAGE(Table2[[#This Row],[Jan]:[Dec]])</f>
        <v>3.3499999999999996</v>
      </c>
      <c r="Z34" t="str">
        <f>IF(Table2[[#This Row],[Average]]&lt;3,"Low",IF(Table2[[#This Row],[Average]]&lt;=4,"Med",IF(Table2[[#This Row],[Average]]&gt;4,"High")))</f>
        <v>Med</v>
      </c>
    </row>
    <row r="35" spans="1:26" x14ac:dyDescent="0.25">
      <c r="A35">
        <v>200060</v>
      </c>
      <c r="B35" t="s">
        <v>70</v>
      </c>
      <c r="C35" t="s">
        <v>32</v>
      </c>
      <c r="D35" t="s">
        <v>71</v>
      </c>
      <c r="E35" t="s">
        <v>164</v>
      </c>
      <c r="F35" t="s">
        <v>72</v>
      </c>
      <c r="G35" t="s">
        <v>29</v>
      </c>
      <c r="H35" s="1">
        <v>27526</v>
      </c>
      <c r="I35" s="1">
        <v>39022</v>
      </c>
      <c r="J35" s="2">
        <f ca="1">DATEDIF(Table2[[#This Row],[Tanggal Lahir]],NOW(),"Y")</f>
        <v>51</v>
      </c>
      <c r="K35" s="1" t="str">
        <f ca="1">IF(Table2[[#This Row],[Usia]]&lt;25,"Gen Z",IF(Table2[[#This Row],[Usia]]&lt;40,"Gen Y",IF(Table2[[#This Row],[Usia]]&lt;56,"Gen X",IF(Table2[[#This Row],[Usia]]&gt;=56,"Baby Boomer"))))</f>
        <v>Gen X</v>
      </c>
      <c r="L35" t="s">
        <v>50</v>
      </c>
      <c r="M35">
        <v>4.5999999999999996</v>
      </c>
      <c r="N35">
        <v>4.68</v>
      </c>
      <c r="O35">
        <v>4.13</v>
      </c>
      <c r="P35">
        <v>1.65</v>
      </c>
      <c r="Q35">
        <v>2.4500000000000002</v>
      </c>
      <c r="R35">
        <v>3.7</v>
      </c>
      <c r="S35">
        <v>3.93</v>
      </c>
      <c r="T35">
        <v>1.53</v>
      </c>
      <c r="U35">
        <v>2.63</v>
      </c>
      <c r="V35">
        <v>3.39</v>
      </c>
      <c r="W35">
        <v>1.35</v>
      </c>
      <c r="X35">
        <v>4.17</v>
      </c>
      <c r="Y35" s="3">
        <f>AVERAGE(Table2[[#This Row],[Jan]:[Dec]])</f>
        <v>3.1841666666666666</v>
      </c>
      <c r="Z35" t="str">
        <f>IF(Table2[[#This Row],[Average]]&lt;3,"Low",IF(Table2[[#This Row],[Average]]&lt;=4,"Med",IF(Table2[[#This Row],[Average]]&gt;4,"High")))</f>
        <v>Med</v>
      </c>
    </row>
    <row r="36" spans="1:26" x14ac:dyDescent="0.25">
      <c r="A36">
        <v>201438</v>
      </c>
      <c r="B36" t="s">
        <v>73</v>
      </c>
      <c r="C36" t="s">
        <v>23</v>
      </c>
      <c r="D36" t="s">
        <v>24</v>
      </c>
      <c r="E36" t="s">
        <v>164</v>
      </c>
      <c r="F36" t="s">
        <v>25</v>
      </c>
      <c r="G36" t="s">
        <v>26</v>
      </c>
      <c r="H36" s="1">
        <v>27475</v>
      </c>
      <c r="I36" s="1">
        <v>38412</v>
      </c>
      <c r="J36" s="2">
        <f ca="1">DATEDIF(Table2[[#This Row],[Tanggal Lahir]],NOW(),"Y")</f>
        <v>51</v>
      </c>
      <c r="K36" s="1" t="str">
        <f ca="1">IF(Table2[[#This Row],[Usia]]&lt;25,"Gen Z",IF(Table2[[#This Row],[Usia]]&lt;40,"Gen Y",IF(Table2[[#This Row],[Usia]]&lt;56,"Gen X",IF(Table2[[#This Row],[Usia]]&gt;=56,"Baby Boomer"))))</f>
        <v>Gen X</v>
      </c>
      <c r="L36" t="s">
        <v>50</v>
      </c>
      <c r="M36">
        <v>1.0900000000000001</v>
      </c>
      <c r="N36">
        <v>2.3199999999999998</v>
      </c>
      <c r="O36">
        <v>3.66</v>
      </c>
      <c r="P36">
        <v>2.11</v>
      </c>
      <c r="Q36">
        <v>2.31</v>
      </c>
      <c r="R36">
        <v>3.76</v>
      </c>
      <c r="S36">
        <v>2.97</v>
      </c>
      <c r="T36">
        <v>4.0599999999999996</v>
      </c>
      <c r="U36">
        <v>3.91</v>
      </c>
      <c r="V36">
        <v>1.08</v>
      </c>
      <c r="W36">
        <v>4.33</v>
      </c>
      <c r="X36">
        <v>4.96</v>
      </c>
      <c r="Y36" s="3">
        <f>AVERAGE(Table2[[#This Row],[Jan]:[Dec]])</f>
        <v>3.0466666666666664</v>
      </c>
      <c r="Z36" t="str">
        <f>IF(Table2[[#This Row],[Average]]&lt;3,"Low",IF(Table2[[#This Row],[Average]]&lt;=4,"Med",IF(Table2[[#This Row],[Average]]&gt;4,"High")))</f>
        <v>Med</v>
      </c>
    </row>
    <row r="37" spans="1:26" x14ac:dyDescent="0.25">
      <c r="A37">
        <v>202017</v>
      </c>
      <c r="B37" t="s">
        <v>74</v>
      </c>
      <c r="C37" t="s">
        <v>23</v>
      </c>
      <c r="D37" t="s">
        <v>24</v>
      </c>
      <c r="E37" t="s">
        <v>164</v>
      </c>
      <c r="F37" t="s">
        <v>25</v>
      </c>
      <c r="G37" t="s">
        <v>29</v>
      </c>
      <c r="H37" s="1">
        <v>34626</v>
      </c>
      <c r="I37" s="1">
        <v>43070</v>
      </c>
      <c r="J37" s="2">
        <f ca="1">DATEDIF(Table2[[#This Row],[Tanggal Lahir]],NOW(),"Y")</f>
        <v>31</v>
      </c>
      <c r="K37" s="1" t="str">
        <f ca="1">IF(Table2[[#This Row],[Usia]]&lt;25,"Gen Z",IF(Table2[[#This Row],[Usia]]&lt;40,"Gen Y",IF(Table2[[#This Row],[Usia]]&lt;56,"Gen X",IF(Table2[[#This Row],[Usia]]&gt;=56,"Baby Boomer"))))</f>
        <v>Gen Y</v>
      </c>
      <c r="L37" t="s">
        <v>33</v>
      </c>
      <c r="M37">
        <v>3.13</v>
      </c>
      <c r="N37">
        <v>1.62</v>
      </c>
      <c r="O37">
        <v>4.72</v>
      </c>
      <c r="P37">
        <v>2.14</v>
      </c>
      <c r="Q37">
        <v>1.99</v>
      </c>
      <c r="R37">
        <v>3.02</v>
      </c>
      <c r="S37">
        <v>3.26</v>
      </c>
      <c r="T37">
        <v>2.0099999999999998</v>
      </c>
      <c r="U37">
        <v>4.75</v>
      </c>
      <c r="V37">
        <v>3.58</v>
      </c>
      <c r="W37">
        <v>4.9000000000000004</v>
      </c>
      <c r="X37">
        <v>3.33</v>
      </c>
      <c r="Y37" s="3">
        <f>AVERAGE(Table2[[#This Row],[Jan]:[Dec]])</f>
        <v>3.2041666666666662</v>
      </c>
      <c r="Z37" t="str">
        <f>IF(Table2[[#This Row],[Average]]&lt;3,"Low",IF(Table2[[#This Row],[Average]]&lt;=4,"Med",IF(Table2[[#This Row],[Average]]&gt;4,"High")))</f>
        <v>Med</v>
      </c>
    </row>
    <row r="38" spans="1:26" x14ac:dyDescent="0.25">
      <c r="A38">
        <v>202294</v>
      </c>
      <c r="B38" t="s">
        <v>75</v>
      </c>
      <c r="C38" t="s">
        <v>23</v>
      </c>
      <c r="D38" t="s">
        <v>24</v>
      </c>
      <c r="E38" t="s">
        <v>164</v>
      </c>
      <c r="F38" t="s">
        <v>25</v>
      </c>
      <c r="G38" t="s">
        <v>26</v>
      </c>
      <c r="H38" s="1">
        <v>27558</v>
      </c>
      <c r="I38" s="1">
        <v>38611</v>
      </c>
      <c r="J38" s="2">
        <f ca="1">DATEDIF(Table2[[#This Row],[Tanggal Lahir]],NOW(),"Y")</f>
        <v>51</v>
      </c>
      <c r="K38" s="1" t="str">
        <f ca="1">IF(Table2[[#This Row],[Usia]]&lt;25,"Gen Z",IF(Table2[[#This Row],[Usia]]&lt;40,"Gen Y",IF(Table2[[#This Row],[Usia]]&lt;56,"Gen X",IF(Table2[[#This Row],[Usia]]&gt;=56,"Baby Boomer"))))</f>
        <v>Gen X</v>
      </c>
      <c r="L38" t="s">
        <v>33</v>
      </c>
      <c r="M38">
        <v>2.8</v>
      </c>
      <c r="N38">
        <v>1.78</v>
      </c>
      <c r="O38">
        <v>4.6900000000000004</v>
      </c>
      <c r="P38">
        <v>1.3</v>
      </c>
      <c r="Q38">
        <v>4.18</v>
      </c>
      <c r="R38">
        <v>4.46</v>
      </c>
      <c r="S38">
        <v>3.56</v>
      </c>
      <c r="T38">
        <v>4.95</v>
      </c>
      <c r="U38">
        <v>4.08</v>
      </c>
      <c r="V38">
        <v>2.33</v>
      </c>
      <c r="W38">
        <v>2.5299999999999998</v>
      </c>
      <c r="X38">
        <v>4.1100000000000003</v>
      </c>
      <c r="Y38" s="3">
        <f>AVERAGE(Table2[[#This Row],[Jan]:[Dec]])</f>
        <v>3.3974999999999995</v>
      </c>
      <c r="Z38" t="str">
        <f>IF(Table2[[#This Row],[Average]]&lt;3,"Low",IF(Table2[[#This Row],[Average]]&lt;=4,"Med",IF(Table2[[#This Row],[Average]]&gt;4,"High")))</f>
        <v>Med</v>
      </c>
    </row>
    <row r="39" spans="1:26" x14ac:dyDescent="0.25">
      <c r="A39">
        <v>202322</v>
      </c>
      <c r="B39" t="s">
        <v>76</v>
      </c>
      <c r="C39" t="s">
        <v>23</v>
      </c>
      <c r="D39" t="s">
        <v>38</v>
      </c>
      <c r="E39" t="s">
        <v>165</v>
      </c>
      <c r="F39" t="s">
        <v>25</v>
      </c>
      <c r="G39" t="s">
        <v>26</v>
      </c>
      <c r="H39" s="1">
        <v>27408</v>
      </c>
      <c r="I39" s="1">
        <v>38276</v>
      </c>
      <c r="J39" s="2">
        <f ca="1">DATEDIF(Table2[[#This Row],[Tanggal Lahir]],NOW(),"Y")</f>
        <v>51</v>
      </c>
      <c r="K39" s="1" t="str">
        <f ca="1">IF(Table2[[#This Row],[Usia]]&lt;25,"Gen Z",IF(Table2[[#This Row],[Usia]]&lt;40,"Gen Y",IF(Table2[[#This Row],[Usia]]&lt;56,"Gen X",IF(Table2[[#This Row],[Usia]]&gt;=56,"Baby Boomer"))))</f>
        <v>Gen X</v>
      </c>
      <c r="L39" t="s">
        <v>27</v>
      </c>
      <c r="M39">
        <v>2.4500000000000002</v>
      </c>
      <c r="N39">
        <v>2.2999999999999998</v>
      </c>
      <c r="O39">
        <v>1.28</v>
      </c>
      <c r="P39">
        <v>4.58</v>
      </c>
      <c r="Q39">
        <v>4.2699999999999996</v>
      </c>
      <c r="R39">
        <v>3.63</v>
      </c>
      <c r="S39">
        <v>4.87</v>
      </c>
      <c r="T39">
        <v>3.88</v>
      </c>
      <c r="U39">
        <v>2.35</v>
      </c>
      <c r="V39">
        <v>4.17</v>
      </c>
      <c r="W39">
        <v>1.06</v>
      </c>
      <c r="X39">
        <v>4.3899999999999997</v>
      </c>
      <c r="Y39" s="3">
        <f>AVERAGE(Table2[[#This Row],[Jan]:[Dec]])</f>
        <v>3.269166666666667</v>
      </c>
      <c r="Z39" t="str">
        <f>IF(Table2[[#This Row],[Average]]&lt;3,"Low",IF(Table2[[#This Row],[Average]]&lt;=4,"Med",IF(Table2[[#This Row],[Average]]&gt;4,"High")))</f>
        <v>Med</v>
      </c>
    </row>
    <row r="40" spans="1:26" x14ac:dyDescent="0.25">
      <c r="A40">
        <v>202654</v>
      </c>
      <c r="B40" t="s">
        <v>77</v>
      </c>
      <c r="C40" t="s">
        <v>23</v>
      </c>
      <c r="D40" t="s">
        <v>38</v>
      </c>
      <c r="E40" t="s">
        <v>164</v>
      </c>
      <c r="F40" t="s">
        <v>35</v>
      </c>
      <c r="G40" t="s">
        <v>29</v>
      </c>
      <c r="H40" s="1">
        <v>34778</v>
      </c>
      <c r="I40" s="1">
        <v>44501</v>
      </c>
      <c r="J40" s="2">
        <f ca="1">DATEDIF(Table2[[#This Row],[Tanggal Lahir]],NOW(),"Y")</f>
        <v>31</v>
      </c>
      <c r="K40" s="1" t="str">
        <f ca="1">IF(Table2[[#This Row],[Usia]]&lt;25,"Gen Z",IF(Table2[[#This Row],[Usia]]&lt;40,"Gen Y",IF(Table2[[#This Row],[Usia]]&lt;56,"Gen X",IF(Table2[[#This Row],[Usia]]&gt;=56,"Baby Boomer"))))</f>
        <v>Gen Y</v>
      </c>
      <c r="L40" t="s">
        <v>33</v>
      </c>
      <c r="M40">
        <v>3.52</v>
      </c>
      <c r="N40">
        <v>3.23</v>
      </c>
      <c r="O40">
        <v>1.82</v>
      </c>
      <c r="P40">
        <v>1.98</v>
      </c>
      <c r="Q40">
        <v>4.53</v>
      </c>
      <c r="R40">
        <v>2.64</v>
      </c>
      <c r="S40">
        <v>2.3199999999999998</v>
      </c>
      <c r="T40">
        <v>2.33</v>
      </c>
      <c r="U40">
        <v>4.59</v>
      </c>
      <c r="V40">
        <v>2.44</v>
      </c>
      <c r="W40">
        <v>3.92</v>
      </c>
      <c r="X40">
        <v>3.23</v>
      </c>
      <c r="Y40" s="3">
        <f>AVERAGE(Table2[[#This Row],[Jan]:[Dec]])</f>
        <v>3.0458333333333338</v>
      </c>
      <c r="Z40" t="str">
        <f>IF(Table2[[#This Row],[Average]]&lt;3,"Low",IF(Table2[[#This Row],[Average]]&lt;=4,"Med",IF(Table2[[#This Row],[Average]]&gt;4,"High")))</f>
        <v>Med</v>
      </c>
    </row>
    <row r="41" spans="1:26" x14ac:dyDescent="0.25">
      <c r="A41">
        <v>208192</v>
      </c>
      <c r="B41" t="s">
        <v>78</v>
      </c>
      <c r="C41" t="s">
        <v>23</v>
      </c>
      <c r="D41" t="s">
        <v>24</v>
      </c>
      <c r="E41" t="s">
        <v>164</v>
      </c>
      <c r="F41" t="s">
        <v>25</v>
      </c>
      <c r="G41" t="s">
        <v>29</v>
      </c>
      <c r="H41" s="1">
        <v>32096</v>
      </c>
      <c r="I41" s="1">
        <v>42644</v>
      </c>
      <c r="J41" s="2">
        <f ca="1">DATEDIF(Table2[[#This Row],[Tanggal Lahir]],NOW(),"Y")</f>
        <v>38</v>
      </c>
      <c r="K41" s="1" t="str">
        <f ca="1">IF(Table2[[#This Row],[Usia]]&lt;25,"Gen Z",IF(Table2[[#This Row],[Usia]]&lt;40,"Gen Y",IF(Table2[[#This Row],[Usia]]&lt;56,"Gen X",IF(Table2[[#This Row],[Usia]]&gt;=56,"Baby Boomer"))))</f>
        <v>Gen Y</v>
      </c>
      <c r="L41" t="s">
        <v>33</v>
      </c>
      <c r="M41">
        <v>4.22</v>
      </c>
      <c r="N41">
        <v>3.79</v>
      </c>
      <c r="O41">
        <v>2.61</v>
      </c>
      <c r="P41">
        <v>1.59</v>
      </c>
      <c r="Q41">
        <v>1.56</v>
      </c>
      <c r="R41">
        <v>1.63</v>
      </c>
      <c r="S41">
        <v>2.57</v>
      </c>
      <c r="T41">
        <v>1.48</v>
      </c>
      <c r="U41">
        <v>3.36</v>
      </c>
      <c r="V41">
        <v>4.32</v>
      </c>
      <c r="W41">
        <v>4.66</v>
      </c>
      <c r="X41">
        <v>4.22</v>
      </c>
      <c r="Y41" s="3">
        <f>AVERAGE(Table2[[#This Row],[Jan]:[Dec]])</f>
        <v>3.000833333333333</v>
      </c>
      <c r="Z41" t="str">
        <f>IF(Table2[[#This Row],[Average]]&lt;3,"Low",IF(Table2[[#This Row],[Average]]&lt;=4,"Med",IF(Table2[[#This Row],[Average]]&gt;4,"High")))</f>
        <v>Med</v>
      </c>
    </row>
    <row r="42" spans="1:26" x14ac:dyDescent="0.25">
      <c r="A42">
        <v>213858</v>
      </c>
      <c r="B42" t="s">
        <v>79</v>
      </c>
      <c r="C42" t="s">
        <v>23</v>
      </c>
      <c r="D42" t="s">
        <v>24</v>
      </c>
      <c r="E42" t="s">
        <v>164</v>
      </c>
      <c r="F42" t="s">
        <v>25</v>
      </c>
      <c r="G42" t="s">
        <v>26</v>
      </c>
      <c r="H42" s="1">
        <v>30208</v>
      </c>
      <c r="I42" s="1">
        <v>43009</v>
      </c>
      <c r="J42" s="2">
        <f ca="1">DATEDIF(Table2[[#This Row],[Tanggal Lahir]],NOW(),"Y")</f>
        <v>43</v>
      </c>
      <c r="K42" s="1" t="str">
        <f ca="1">IF(Table2[[#This Row],[Usia]]&lt;25,"Gen Z",IF(Table2[[#This Row],[Usia]]&lt;40,"Gen Y",IF(Table2[[#This Row],[Usia]]&lt;56,"Gen X",IF(Table2[[#This Row],[Usia]]&gt;=56,"Baby Boomer"))))</f>
        <v>Gen X</v>
      </c>
      <c r="L42" t="s">
        <v>30</v>
      </c>
      <c r="M42">
        <v>3.91</v>
      </c>
      <c r="N42">
        <v>3.3</v>
      </c>
      <c r="O42">
        <v>2.58</v>
      </c>
      <c r="P42">
        <v>2.2999999999999998</v>
      </c>
      <c r="Q42">
        <v>3.87</v>
      </c>
      <c r="R42">
        <v>1.1200000000000001</v>
      </c>
      <c r="S42">
        <v>3.86</v>
      </c>
      <c r="T42">
        <v>2.87</v>
      </c>
      <c r="U42">
        <v>3.9</v>
      </c>
      <c r="V42">
        <v>4.41</v>
      </c>
      <c r="W42">
        <v>4.5599999999999996</v>
      </c>
      <c r="X42">
        <v>1.63</v>
      </c>
      <c r="Y42" s="3">
        <f>AVERAGE(Table2[[#This Row],[Jan]:[Dec]])</f>
        <v>3.1925000000000008</v>
      </c>
      <c r="Z42" t="str">
        <f>IF(Table2[[#This Row],[Average]]&lt;3,"Low",IF(Table2[[#This Row],[Average]]&lt;=4,"Med",IF(Table2[[#This Row],[Average]]&gt;4,"High")))</f>
        <v>Med</v>
      </c>
    </row>
    <row r="43" spans="1:26" x14ac:dyDescent="0.25">
      <c r="A43">
        <v>215154</v>
      </c>
      <c r="B43" t="s">
        <v>80</v>
      </c>
      <c r="C43" t="s">
        <v>23</v>
      </c>
      <c r="D43" t="s">
        <v>38</v>
      </c>
      <c r="E43" t="s">
        <v>164</v>
      </c>
      <c r="F43" t="s">
        <v>25</v>
      </c>
      <c r="G43" t="s">
        <v>26</v>
      </c>
      <c r="H43" s="1">
        <v>32054</v>
      </c>
      <c r="I43" s="1">
        <v>43070</v>
      </c>
      <c r="J43" s="2">
        <f ca="1">DATEDIF(Table2[[#This Row],[Tanggal Lahir]],NOW(),"Y")</f>
        <v>38</v>
      </c>
      <c r="K43" s="1" t="str">
        <f ca="1">IF(Table2[[#This Row],[Usia]]&lt;25,"Gen Z",IF(Table2[[#This Row],[Usia]]&lt;40,"Gen Y",IF(Table2[[#This Row],[Usia]]&lt;56,"Gen X",IF(Table2[[#This Row],[Usia]]&gt;=56,"Baby Boomer"))))</f>
        <v>Gen Y</v>
      </c>
      <c r="L43" t="s">
        <v>33</v>
      </c>
      <c r="M43">
        <v>1.66</v>
      </c>
      <c r="N43">
        <v>2.61</v>
      </c>
      <c r="O43">
        <v>2.66</v>
      </c>
      <c r="P43">
        <v>2.71</v>
      </c>
      <c r="Q43">
        <v>2.73</v>
      </c>
      <c r="R43">
        <v>3.37</v>
      </c>
      <c r="S43">
        <v>2.5499999999999998</v>
      </c>
      <c r="T43">
        <v>3.72</v>
      </c>
      <c r="U43">
        <v>4.3899999999999997</v>
      </c>
      <c r="V43">
        <v>2.5299999999999998</v>
      </c>
      <c r="W43">
        <v>2.2599999999999998</v>
      </c>
      <c r="X43">
        <v>4.43</v>
      </c>
      <c r="Y43" s="3">
        <f>AVERAGE(Table2[[#This Row],[Jan]:[Dec]])</f>
        <v>2.9683333333333337</v>
      </c>
      <c r="Z43" t="str">
        <f>IF(Table2[[#This Row],[Average]]&lt;3,"Low",IF(Table2[[#This Row],[Average]]&lt;=4,"Med",IF(Table2[[#This Row],[Average]]&gt;4,"High")))</f>
        <v>Low</v>
      </c>
    </row>
    <row r="44" spans="1:26" x14ac:dyDescent="0.25">
      <c r="A44">
        <v>216549</v>
      </c>
      <c r="B44" t="s">
        <v>81</v>
      </c>
      <c r="C44" t="s">
        <v>32</v>
      </c>
      <c r="D44" t="s">
        <v>38</v>
      </c>
      <c r="E44" t="s">
        <v>165</v>
      </c>
      <c r="F44" t="s">
        <v>25</v>
      </c>
      <c r="G44" t="s">
        <v>26</v>
      </c>
      <c r="H44" s="1">
        <v>27242</v>
      </c>
      <c r="I44" s="1">
        <v>38042</v>
      </c>
      <c r="J44" s="2">
        <f ca="1">DATEDIF(Table2[[#This Row],[Tanggal Lahir]],NOW(),"Y")</f>
        <v>52</v>
      </c>
      <c r="K44" s="1" t="str">
        <f ca="1">IF(Table2[[#This Row],[Usia]]&lt;25,"Gen Z",IF(Table2[[#This Row],[Usia]]&lt;40,"Gen Y",IF(Table2[[#This Row],[Usia]]&lt;56,"Gen X",IF(Table2[[#This Row],[Usia]]&gt;=56,"Baby Boomer"))))</f>
        <v>Gen X</v>
      </c>
      <c r="L44" t="s">
        <v>33</v>
      </c>
      <c r="M44">
        <v>2.4300000000000002</v>
      </c>
      <c r="N44">
        <v>2.4</v>
      </c>
      <c r="O44">
        <v>3.79</v>
      </c>
      <c r="P44">
        <v>3.68</v>
      </c>
      <c r="Q44">
        <v>4.26</v>
      </c>
      <c r="R44">
        <v>1.63</v>
      </c>
      <c r="S44">
        <v>4.99</v>
      </c>
      <c r="T44">
        <v>2.65</v>
      </c>
      <c r="U44">
        <v>3.54</v>
      </c>
      <c r="V44">
        <v>3.62</v>
      </c>
      <c r="W44">
        <v>1.08</v>
      </c>
      <c r="X44">
        <v>4.68</v>
      </c>
      <c r="Y44" s="3">
        <f>AVERAGE(Table2[[#This Row],[Jan]:[Dec]])</f>
        <v>3.2291666666666661</v>
      </c>
      <c r="Z44" t="str">
        <f>IF(Table2[[#This Row],[Average]]&lt;3,"Low",IF(Table2[[#This Row],[Average]]&lt;=4,"Med",IF(Table2[[#This Row],[Average]]&gt;4,"High")))</f>
        <v>Med</v>
      </c>
    </row>
    <row r="45" spans="1:26" x14ac:dyDescent="0.25">
      <c r="A45">
        <v>221084</v>
      </c>
      <c r="B45" t="s">
        <v>82</v>
      </c>
      <c r="C45" t="s">
        <v>23</v>
      </c>
      <c r="D45" t="s">
        <v>24</v>
      </c>
      <c r="E45" t="s">
        <v>164</v>
      </c>
      <c r="F45" t="s">
        <v>25</v>
      </c>
      <c r="G45" t="s">
        <v>29</v>
      </c>
      <c r="H45" s="1">
        <v>29672</v>
      </c>
      <c r="I45" s="1">
        <v>42226</v>
      </c>
      <c r="J45" s="2">
        <f ca="1">DATEDIF(Table2[[#This Row],[Tanggal Lahir]],NOW(),"Y")</f>
        <v>45</v>
      </c>
      <c r="K45" s="1" t="str">
        <f ca="1">IF(Table2[[#This Row],[Usia]]&lt;25,"Gen Z",IF(Table2[[#This Row],[Usia]]&lt;40,"Gen Y",IF(Table2[[#This Row],[Usia]]&lt;56,"Gen X",IF(Table2[[#This Row],[Usia]]&gt;=56,"Baby Boomer"))))</f>
        <v>Gen X</v>
      </c>
      <c r="L45" t="s">
        <v>33</v>
      </c>
      <c r="M45">
        <v>3.89</v>
      </c>
      <c r="N45">
        <v>1.24</v>
      </c>
      <c r="O45">
        <v>4.04</v>
      </c>
      <c r="P45">
        <v>1.0900000000000001</v>
      </c>
      <c r="Q45">
        <v>3.62</v>
      </c>
      <c r="R45">
        <v>3.15</v>
      </c>
      <c r="S45">
        <v>2.13</v>
      </c>
      <c r="T45">
        <v>3.98</v>
      </c>
      <c r="U45">
        <v>4.7300000000000004</v>
      </c>
      <c r="V45">
        <v>3.76</v>
      </c>
      <c r="W45">
        <v>2.35</v>
      </c>
      <c r="X45">
        <v>4.79</v>
      </c>
      <c r="Y45" s="3">
        <f>AVERAGE(Table2[[#This Row],[Jan]:[Dec]])</f>
        <v>3.230833333333333</v>
      </c>
      <c r="Z45" t="str">
        <f>IF(Table2[[#This Row],[Average]]&lt;3,"Low",IF(Table2[[#This Row],[Average]]&lt;=4,"Med",IF(Table2[[#This Row],[Average]]&gt;4,"High")))</f>
        <v>Med</v>
      </c>
    </row>
    <row r="46" spans="1:26" x14ac:dyDescent="0.25">
      <c r="A46">
        <v>228367</v>
      </c>
      <c r="B46" t="s">
        <v>83</v>
      </c>
      <c r="C46" t="s">
        <v>23</v>
      </c>
      <c r="D46" t="s">
        <v>24</v>
      </c>
      <c r="E46" t="s">
        <v>164</v>
      </c>
      <c r="F46" t="s">
        <v>25</v>
      </c>
      <c r="G46" t="s">
        <v>26</v>
      </c>
      <c r="H46" s="1">
        <v>31201</v>
      </c>
      <c r="I46" s="1">
        <v>41974</v>
      </c>
      <c r="J46" s="2">
        <f ca="1">DATEDIF(Table2[[#This Row],[Tanggal Lahir]],NOW(),"Y")</f>
        <v>41</v>
      </c>
      <c r="K46" s="1" t="str">
        <f ca="1">IF(Table2[[#This Row],[Usia]]&lt;25,"Gen Z",IF(Table2[[#This Row],[Usia]]&lt;40,"Gen Y",IF(Table2[[#This Row],[Usia]]&lt;56,"Gen X",IF(Table2[[#This Row],[Usia]]&gt;=56,"Baby Boomer"))))</f>
        <v>Gen X</v>
      </c>
      <c r="L46" t="s">
        <v>33</v>
      </c>
      <c r="M46">
        <v>1.54</v>
      </c>
      <c r="N46">
        <v>3.28</v>
      </c>
      <c r="O46">
        <v>3.58</v>
      </c>
      <c r="P46">
        <v>2.2200000000000002</v>
      </c>
      <c r="Q46">
        <v>3.11</v>
      </c>
      <c r="R46">
        <v>4.91</v>
      </c>
      <c r="S46">
        <v>2.15</v>
      </c>
      <c r="T46">
        <v>2.71</v>
      </c>
      <c r="U46">
        <v>2.5099999999999998</v>
      </c>
      <c r="V46">
        <v>4.68</v>
      </c>
      <c r="W46">
        <v>4.03</v>
      </c>
      <c r="X46">
        <v>1.1200000000000001</v>
      </c>
      <c r="Y46" s="3">
        <f>AVERAGE(Table2[[#This Row],[Jan]:[Dec]])</f>
        <v>2.9866666666666664</v>
      </c>
      <c r="Z46" t="str">
        <f>IF(Table2[[#This Row],[Average]]&lt;3,"Low",IF(Table2[[#This Row],[Average]]&lt;=4,"Med",IF(Table2[[#This Row],[Average]]&gt;4,"High")))</f>
        <v>Low</v>
      </c>
    </row>
    <row r="47" spans="1:26" x14ac:dyDescent="0.25">
      <c r="A47">
        <v>234773</v>
      </c>
      <c r="B47" t="s">
        <v>84</v>
      </c>
      <c r="C47" t="s">
        <v>23</v>
      </c>
      <c r="D47" t="s">
        <v>38</v>
      </c>
      <c r="E47" t="s">
        <v>164</v>
      </c>
      <c r="F47" t="s">
        <v>25</v>
      </c>
      <c r="G47" t="s">
        <v>29</v>
      </c>
      <c r="H47" s="1">
        <v>32238</v>
      </c>
      <c r="I47" s="1">
        <v>40616</v>
      </c>
      <c r="J47" s="2">
        <f ca="1">DATEDIF(Table2[[#This Row],[Tanggal Lahir]],NOW(),"Y")</f>
        <v>38</v>
      </c>
      <c r="K47" s="1" t="str">
        <f ca="1">IF(Table2[[#This Row],[Usia]]&lt;25,"Gen Z",IF(Table2[[#This Row],[Usia]]&lt;40,"Gen Y",IF(Table2[[#This Row],[Usia]]&lt;56,"Gen X",IF(Table2[[#This Row],[Usia]]&gt;=56,"Baby Boomer"))))</f>
        <v>Gen Y</v>
      </c>
      <c r="L47" t="s">
        <v>33</v>
      </c>
      <c r="M47">
        <v>1.44</v>
      </c>
      <c r="N47">
        <v>2.79</v>
      </c>
      <c r="O47">
        <v>4.16</v>
      </c>
      <c r="P47">
        <v>3.23</v>
      </c>
      <c r="Q47">
        <v>2.27</v>
      </c>
      <c r="R47">
        <v>2.4500000000000002</v>
      </c>
      <c r="S47">
        <v>3.91</v>
      </c>
      <c r="T47">
        <v>2.27</v>
      </c>
      <c r="U47">
        <v>1.2</v>
      </c>
      <c r="V47">
        <v>1.07</v>
      </c>
      <c r="W47">
        <v>2.31</v>
      </c>
      <c r="X47">
        <v>3.73</v>
      </c>
      <c r="Y47" s="3">
        <f>AVERAGE(Table2[[#This Row],[Jan]:[Dec]])</f>
        <v>2.5691666666666664</v>
      </c>
      <c r="Z47" t="str">
        <f>IF(Table2[[#This Row],[Average]]&lt;3,"Low",IF(Table2[[#This Row],[Average]]&lt;=4,"Med",IF(Table2[[#This Row],[Average]]&gt;4,"High")))</f>
        <v>Low</v>
      </c>
    </row>
    <row r="48" spans="1:26" x14ac:dyDescent="0.25">
      <c r="A48">
        <v>240026</v>
      </c>
      <c r="B48" t="s">
        <v>85</v>
      </c>
      <c r="C48" t="s">
        <v>41</v>
      </c>
      <c r="D48" t="s">
        <v>38</v>
      </c>
      <c r="E48" t="s">
        <v>164</v>
      </c>
      <c r="F48" t="s">
        <v>25</v>
      </c>
      <c r="G48" t="s">
        <v>29</v>
      </c>
      <c r="H48" s="1">
        <v>33919</v>
      </c>
      <c r="I48" s="1">
        <v>42053</v>
      </c>
      <c r="J48" s="2">
        <f ca="1">DATEDIF(Table2[[#This Row],[Tanggal Lahir]],NOW(),"Y")</f>
        <v>33</v>
      </c>
      <c r="K48" s="1" t="str">
        <f ca="1">IF(Table2[[#This Row],[Usia]]&lt;25,"Gen Z",IF(Table2[[#This Row],[Usia]]&lt;40,"Gen Y",IF(Table2[[#This Row],[Usia]]&lt;56,"Gen X",IF(Table2[[#This Row],[Usia]]&gt;=56,"Baby Boomer"))))</f>
        <v>Gen Y</v>
      </c>
      <c r="L48" t="s">
        <v>33</v>
      </c>
      <c r="M48">
        <v>3.55</v>
      </c>
      <c r="N48">
        <v>3.63</v>
      </c>
      <c r="O48">
        <v>3.91</v>
      </c>
      <c r="P48">
        <v>2.93</v>
      </c>
      <c r="Q48">
        <v>3.18</v>
      </c>
      <c r="R48">
        <v>1.04</v>
      </c>
      <c r="S48">
        <v>4.91</v>
      </c>
      <c r="T48">
        <v>1.63</v>
      </c>
      <c r="U48">
        <v>4.41</v>
      </c>
      <c r="V48">
        <v>4.9400000000000004</v>
      </c>
      <c r="W48">
        <v>2.39</v>
      </c>
      <c r="X48">
        <v>1.33</v>
      </c>
      <c r="Y48" s="3">
        <f>AVERAGE(Table2[[#This Row],[Jan]:[Dec]])</f>
        <v>3.1541666666666663</v>
      </c>
      <c r="Z48" t="str">
        <f>IF(Table2[[#This Row],[Average]]&lt;3,"Low",IF(Table2[[#This Row],[Average]]&lt;=4,"Med",IF(Table2[[#This Row],[Average]]&gt;4,"High")))</f>
        <v>Med</v>
      </c>
    </row>
    <row r="49" spans="1:26" x14ac:dyDescent="0.25">
      <c r="A49">
        <v>243623</v>
      </c>
      <c r="B49" t="s">
        <v>86</v>
      </c>
      <c r="C49" t="s">
        <v>23</v>
      </c>
      <c r="D49" t="s">
        <v>24</v>
      </c>
      <c r="E49" t="s">
        <v>164</v>
      </c>
      <c r="F49" t="s">
        <v>35</v>
      </c>
      <c r="G49" t="s">
        <v>29</v>
      </c>
      <c r="H49" s="1">
        <v>33156</v>
      </c>
      <c r="I49" s="1">
        <v>44051</v>
      </c>
      <c r="J49" s="2">
        <f ca="1">DATEDIF(Table2[[#This Row],[Tanggal Lahir]],NOW(),"Y")</f>
        <v>35</v>
      </c>
      <c r="K49" s="1" t="str">
        <f ca="1">IF(Table2[[#This Row],[Usia]]&lt;25,"Gen Z",IF(Table2[[#This Row],[Usia]]&lt;40,"Gen Y",IF(Table2[[#This Row],[Usia]]&lt;56,"Gen X",IF(Table2[[#This Row],[Usia]]&gt;=56,"Baby Boomer"))))</f>
        <v>Gen Y</v>
      </c>
      <c r="L49" t="s">
        <v>33</v>
      </c>
      <c r="M49">
        <v>2.94</v>
      </c>
      <c r="N49">
        <v>3.69</v>
      </c>
      <c r="O49">
        <v>4.59</v>
      </c>
      <c r="P49">
        <v>4.5999999999999996</v>
      </c>
      <c r="Q49">
        <v>1.89</v>
      </c>
      <c r="R49">
        <v>4.87</v>
      </c>
      <c r="S49">
        <v>1.76</v>
      </c>
      <c r="T49">
        <v>3.58</v>
      </c>
      <c r="U49">
        <v>3.23</v>
      </c>
      <c r="V49">
        <v>4.6500000000000004</v>
      </c>
      <c r="W49">
        <v>3.89</v>
      </c>
      <c r="X49">
        <v>4.8</v>
      </c>
      <c r="Y49" s="3">
        <f>AVERAGE(Table2[[#This Row],[Jan]:[Dec]])</f>
        <v>3.7075</v>
      </c>
      <c r="Z49" t="str">
        <f>IF(Table2[[#This Row],[Average]]&lt;3,"Low",IF(Table2[[#This Row],[Average]]&lt;=4,"Med",IF(Table2[[#This Row],[Average]]&gt;4,"High")))</f>
        <v>Med</v>
      </c>
    </row>
    <row r="50" spans="1:26" x14ac:dyDescent="0.25">
      <c r="A50">
        <v>246366</v>
      </c>
      <c r="B50" t="s">
        <v>87</v>
      </c>
      <c r="C50" t="s">
        <v>41</v>
      </c>
      <c r="D50" t="s">
        <v>24</v>
      </c>
      <c r="E50" t="s">
        <v>164</v>
      </c>
      <c r="F50" t="s">
        <v>25</v>
      </c>
      <c r="G50" t="s">
        <v>29</v>
      </c>
      <c r="H50" s="1">
        <v>32942</v>
      </c>
      <c r="I50" s="1">
        <v>42887</v>
      </c>
      <c r="J50" s="2">
        <f ca="1">DATEDIF(Table2[[#This Row],[Tanggal Lahir]],NOW(),"Y")</f>
        <v>36</v>
      </c>
      <c r="K50" s="1" t="str">
        <f ca="1">IF(Table2[[#This Row],[Usia]]&lt;25,"Gen Z",IF(Table2[[#This Row],[Usia]]&lt;40,"Gen Y",IF(Table2[[#This Row],[Usia]]&lt;56,"Gen X",IF(Table2[[#This Row],[Usia]]&gt;=56,"Baby Boomer"))))</f>
        <v>Gen Y</v>
      </c>
      <c r="L50" t="s">
        <v>33</v>
      </c>
      <c r="M50">
        <v>2.6</v>
      </c>
      <c r="N50">
        <v>1.61</v>
      </c>
      <c r="O50">
        <v>2.82</v>
      </c>
      <c r="P50">
        <v>4.51</v>
      </c>
      <c r="Q50">
        <v>1.99</v>
      </c>
      <c r="R50">
        <v>1.95</v>
      </c>
      <c r="S50">
        <v>4.7300000000000004</v>
      </c>
      <c r="T50">
        <v>1.99</v>
      </c>
      <c r="U50">
        <v>2.82</v>
      </c>
      <c r="V50">
        <v>3.23</v>
      </c>
      <c r="W50">
        <v>3.34</v>
      </c>
      <c r="X50">
        <v>3.13</v>
      </c>
      <c r="Y50" s="3">
        <f>AVERAGE(Table2[[#This Row],[Jan]:[Dec]])</f>
        <v>2.8933333333333331</v>
      </c>
      <c r="Z50" t="str">
        <f>IF(Table2[[#This Row],[Average]]&lt;3,"Low",IF(Table2[[#This Row],[Average]]&lt;=4,"Med",IF(Table2[[#This Row],[Average]]&gt;4,"High")))</f>
        <v>Low</v>
      </c>
    </row>
    <row r="51" spans="1:26" x14ac:dyDescent="0.25">
      <c r="A51">
        <v>247252</v>
      </c>
      <c r="B51" t="s">
        <v>88</v>
      </c>
      <c r="C51" t="s">
        <v>23</v>
      </c>
      <c r="D51" t="s">
        <v>24</v>
      </c>
      <c r="E51" t="s">
        <v>164</v>
      </c>
      <c r="F51" t="s">
        <v>25</v>
      </c>
      <c r="G51" t="s">
        <v>29</v>
      </c>
      <c r="H51" s="1">
        <v>33396</v>
      </c>
      <c r="I51" s="1">
        <v>41432</v>
      </c>
      <c r="J51" s="2">
        <f ca="1">DATEDIF(Table2[[#This Row],[Tanggal Lahir]],NOW(),"Y")</f>
        <v>35</v>
      </c>
      <c r="K51" s="1" t="str">
        <f ca="1">IF(Table2[[#This Row],[Usia]]&lt;25,"Gen Z",IF(Table2[[#This Row],[Usia]]&lt;40,"Gen Y",IF(Table2[[#This Row],[Usia]]&lt;56,"Gen X",IF(Table2[[#This Row],[Usia]]&gt;=56,"Baby Boomer"))))</f>
        <v>Gen Y</v>
      </c>
      <c r="L51" t="s">
        <v>30</v>
      </c>
      <c r="M51">
        <v>2.02</v>
      </c>
      <c r="N51">
        <v>2.93</v>
      </c>
      <c r="O51">
        <v>1.24</v>
      </c>
      <c r="P51">
        <v>4.8499999999999996</v>
      </c>
      <c r="Q51">
        <v>3.88</v>
      </c>
      <c r="R51">
        <v>3.47</v>
      </c>
      <c r="S51">
        <v>4.3899999999999997</v>
      </c>
      <c r="T51">
        <v>3.28</v>
      </c>
      <c r="U51">
        <v>3.79</v>
      </c>
      <c r="V51">
        <v>4.07</v>
      </c>
      <c r="W51">
        <v>2.5</v>
      </c>
      <c r="X51">
        <v>2.48</v>
      </c>
      <c r="Y51" s="3">
        <f>AVERAGE(Table2[[#This Row],[Jan]:[Dec]])</f>
        <v>3.2416666666666667</v>
      </c>
      <c r="Z51" t="str">
        <f>IF(Table2[[#This Row],[Average]]&lt;3,"Low",IF(Table2[[#This Row],[Average]]&lt;=4,"Med",IF(Table2[[#This Row],[Average]]&gt;4,"High")))</f>
        <v>Med</v>
      </c>
    </row>
    <row r="52" spans="1:26" x14ac:dyDescent="0.25">
      <c r="A52">
        <v>247739</v>
      </c>
      <c r="B52" t="s">
        <v>89</v>
      </c>
      <c r="C52" t="s">
        <v>23</v>
      </c>
      <c r="D52" t="s">
        <v>24</v>
      </c>
      <c r="E52" t="s">
        <v>165</v>
      </c>
      <c r="F52" t="s">
        <v>35</v>
      </c>
      <c r="G52" t="s">
        <v>26</v>
      </c>
      <c r="H52" s="1">
        <v>36496</v>
      </c>
      <c r="I52" s="1">
        <v>44973</v>
      </c>
      <c r="J52" s="2">
        <f ca="1">DATEDIF(Table2[[#This Row],[Tanggal Lahir]],NOW(),"Y")</f>
        <v>26</v>
      </c>
      <c r="K52" s="1" t="str">
        <f ca="1">IF(Table2[[#This Row],[Usia]]&lt;25,"Gen Z",IF(Table2[[#This Row],[Usia]]&lt;40,"Gen Y",IF(Table2[[#This Row],[Usia]]&lt;56,"Gen X",IF(Table2[[#This Row],[Usia]]&gt;=56,"Baby Boomer"))))</f>
        <v>Gen Y</v>
      </c>
      <c r="L52" t="s">
        <v>30</v>
      </c>
      <c r="N52">
        <v>2.46</v>
      </c>
      <c r="O52">
        <v>2.81</v>
      </c>
      <c r="P52">
        <v>4.8600000000000003</v>
      </c>
      <c r="Q52">
        <v>1.1000000000000001</v>
      </c>
      <c r="R52">
        <v>4.53</v>
      </c>
      <c r="S52">
        <v>1.76</v>
      </c>
      <c r="T52">
        <v>1.1399999999999999</v>
      </c>
      <c r="U52">
        <v>3.85</v>
      </c>
      <c r="V52">
        <v>4.51</v>
      </c>
      <c r="W52">
        <v>3.17</v>
      </c>
      <c r="X52">
        <v>4.59</v>
      </c>
      <c r="Y52" s="3">
        <f>AVERAGE(Table2[[#This Row],[Jan]:[Dec]])</f>
        <v>3.1618181818181821</v>
      </c>
      <c r="Z52" t="str">
        <f>IF(Table2[[#This Row],[Average]]&lt;3,"Low",IF(Table2[[#This Row],[Average]]&lt;=4,"Med",IF(Table2[[#This Row],[Average]]&gt;4,"High")))</f>
        <v>Med</v>
      </c>
    </row>
    <row r="53" spans="1:26" x14ac:dyDescent="0.25">
      <c r="A53">
        <v>250178</v>
      </c>
      <c r="B53" t="s">
        <v>90</v>
      </c>
      <c r="C53" t="s">
        <v>32</v>
      </c>
      <c r="D53" t="s">
        <v>24</v>
      </c>
      <c r="E53" t="s">
        <v>164</v>
      </c>
      <c r="F53" t="s">
        <v>25</v>
      </c>
      <c r="G53" t="s">
        <v>26</v>
      </c>
      <c r="H53" s="1">
        <v>34138</v>
      </c>
      <c r="I53" s="1">
        <v>42826</v>
      </c>
      <c r="J53" s="2">
        <f ca="1">DATEDIF(Table2[[#This Row],[Tanggal Lahir]],NOW(),"Y")</f>
        <v>33</v>
      </c>
      <c r="K53" s="1" t="str">
        <f ca="1">IF(Table2[[#This Row],[Usia]]&lt;25,"Gen Z",IF(Table2[[#This Row],[Usia]]&lt;40,"Gen Y",IF(Table2[[#This Row],[Usia]]&lt;56,"Gen X",IF(Table2[[#This Row],[Usia]]&gt;=56,"Baby Boomer"))))</f>
        <v>Gen Y</v>
      </c>
      <c r="L53" t="s">
        <v>30</v>
      </c>
      <c r="M53">
        <v>1.74</v>
      </c>
      <c r="N53">
        <v>4.92</v>
      </c>
      <c r="O53">
        <v>2.08</v>
      </c>
      <c r="P53">
        <v>3.72</v>
      </c>
      <c r="Q53">
        <v>1.88</v>
      </c>
      <c r="R53">
        <v>1.0900000000000001</v>
      </c>
      <c r="S53">
        <v>2.76</v>
      </c>
      <c r="T53">
        <v>4.8499999999999996</v>
      </c>
      <c r="U53">
        <v>4.41</v>
      </c>
      <c r="V53">
        <v>1.72</v>
      </c>
      <c r="W53">
        <v>2.86</v>
      </c>
      <c r="X53">
        <v>2.65</v>
      </c>
      <c r="Y53" s="3">
        <f>AVERAGE(Table2[[#This Row],[Jan]:[Dec]])</f>
        <v>2.89</v>
      </c>
      <c r="Z53" t="str">
        <f>IF(Table2[[#This Row],[Average]]&lt;3,"Low",IF(Table2[[#This Row],[Average]]&lt;=4,"Med",IF(Table2[[#This Row],[Average]]&gt;4,"High")))</f>
        <v>Low</v>
      </c>
    </row>
    <row r="54" spans="1:26" x14ac:dyDescent="0.25">
      <c r="A54">
        <v>252814</v>
      </c>
      <c r="B54" t="s">
        <v>91</v>
      </c>
      <c r="C54" t="s">
        <v>23</v>
      </c>
      <c r="D54" t="s">
        <v>24</v>
      </c>
      <c r="E54" t="s">
        <v>164</v>
      </c>
      <c r="F54" t="s">
        <v>25</v>
      </c>
      <c r="G54" t="s">
        <v>29</v>
      </c>
      <c r="H54" s="1">
        <v>32002</v>
      </c>
      <c r="I54" s="1">
        <v>42963</v>
      </c>
      <c r="J54" s="2">
        <f ca="1">DATEDIF(Table2[[#This Row],[Tanggal Lahir]],NOW(),"Y")</f>
        <v>38</v>
      </c>
      <c r="K54" s="1" t="str">
        <f ca="1">IF(Table2[[#This Row],[Usia]]&lt;25,"Gen Z",IF(Table2[[#This Row],[Usia]]&lt;40,"Gen Y",IF(Table2[[#This Row],[Usia]]&lt;56,"Gen X",IF(Table2[[#This Row],[Usia]]&gt;=56,"Baby Boomer"))))</f>
        <v>Gen Y</v>
      </c>
      <c r="L54" t="s">
        <v>30</v>
      </c>
      <c r="M54">
        <v>4.12</v>
      </c>
      <c r="N54">
        <v>1.51</v>
      </c>
      <c r="O54">
        <v>4.33</v>
      </c>
      <c r="P54">
        <v>3.86</v>
      </c>
      <c r="Q54">
        <v>3.96</v>
      </c>
      <c r="R54">
        <v>2.14</v>
      </c>
      <c r="S54">
        <v>4.1900000000000004</v>
      </c>
      <c r="T54">
        <v>2.25</v>
      </c>
      <c r="U54">
        <v>3.44</v>
      </c>
      <c r="V54">
        <v>2.34</v>
      </c>
      <c r="W54">
        <v>2.31</v>
      </c>
      <c r="X54">
        <v>3.89</v>
      </c>
      <c r="Y54" s="3">
        <f>AVERAGE(Table2[[#This Row],[Jan]:[Dec]])</f>
        <v>3.1950000000000003</v>
      </c>
      <c r="Z54" t="str">
        <f>IF(Table2[[#This Row],[Average]]&lt;3,"Low",IF(Table2[[#This Row],[Average]]&lt;=4,"Med",IF(Table2[[#This Row],[Average]]&gt;4,"High")))</f>
        <v>Med</v>
      </c>
    </row>
    <row r="55" spans="1:26" x14ac:dyDescent="0.25">
      <c r="A55">
        <v>254140</v>
      </c>
      <c r="B55" t="s">
        <v>92</v>
      </c>
      <c r="C55" t="s">
        <v>23</v>
      </c>
      <c r="D55" t="s">
        <v>24</v>
      </c>
      <c r="E55" t="s">
        <v>164</v>
      </c>
      <c r="F55" t="s">
        <v>35</v>
      </c>
      <c r="G55" t="s">
        <v>29</v>
      </c>
      <c r="H55" s="1">
        <v>34181</v>
      </c>
      <c r="I55" s="1">
        <v>44531</v>
      </c>
      <c r="J55" s="2">
        <f ca="1">DATEDIF(Table2[[#This Row],[Tanggal Lahir]],NOW(),"Y")</f>
        <v>33</v>
      </c>
      <c r="K55" s="1" t="str">
        <f ca="1">IF(Table2[[#This Row],[Usia]]&lt;25,"Gen Z",IF(Table2[[#This Row],[Usia]]&lt;40,"Gen Y",IF(Table2[[#This Row],[Usia]]&lt;56,"Gen X",IF(Table2[[#This Row],[Usia]]&gt;=56,"Baby Boomer"))))</f>
        <v>Gen Y</v>
      </c>
      <c r="L55" t="s">
        <v>50</v>
      </c>
      <c r="M55">
        <v>2.4700000000000002</v>
      </c>
      <c r="N55">
        <v>1.52</v>
      </c>
      <c r="O55">
        <v>1.8</v>
      </c>
      <c r="P55">
        <v>3.1</v>
      </c>
      <c r="Q55">
        <v>4.9800000000000004</v>
      </c>
      <c r="R55">
        <v>4.43</v>
      </c>
      <c r="S55">
        <v>4.08</v>
      </c>
      <c r="T55">
        <v>3.44</v>
      </c>
      <c r="U55">
        <v>4</v>
      </c>
      <c r="V55">
        <v>4.45</v>
      </c>
      <c r="W55">
        <v>2.38</v>
      </c>
      <c r="X55">
        <v>4.01</v>
      </c>
      <c r="Y55" s="3">
        <f>AVERAGE(Table2[[#This Row],[Jan]:[Dec]])</f>
        <v>3.3883333333333336</v>
      </c>
      <c r="Z55" t="str">
        <f>IF(Table2[[#This Row],[Average]]&lt;3,"Low",IF(Table2[[#This Row],[Average]]&lt;=4,"Med",IF(Table2[[#This Row],[Average]]&gt;4,"High")))</f>
        <v>Med</v>
      </c>
    </row>
    <row r="56" spans="1:26" x14ac:dyDescent="0.25">
      <c r="A56">
        <v>257907</v>
      </c>
      <c r="B56" t="s">
        <v>93</v>
      </c>
      <c r="C56" t="s">
        <v>23</v>
      </c>
      <c r="D56" t="s">
        <v>24</v>
      </c>
      <c r="E56" t="s">
        <v>164</v>
      </c>
      <c r="F56" t="s">
        <v>25</v>
      </c>
      <c r="G56" t="s">
        <v>26</v>
      </c>
      <c r="H56" s="1">
        <v>33826</v>
      </c>
      <c r="I56" s="1">
        <v>41948</v>
      </c>
      <c r="J56" s="2">
        <f ca="1">DATEDIF(Table2[[#This Row],[Tanggal Lahir]],NOW(),"Y")</f>
        <v>34</v>
      </c>
      <c r="K56" s="1" t="str">
        <f ca="1">IF(Table2[[#This Row],[Usia]]&lt;25,"Gen Z",IF(Table2[[#This Row],[Usia]]&lt;40,"Gen Y",IF(Table2[[#This Row],[Usia]]&lt;56,"Gen X",IF(Table2[[#This Row],[Usia]]&gt;=56,"Baby Boomer"))))</f>
        <v>Gen Y</v>
      </c>
      <c r="L56" t="s">
        <v>33</v>
      </c>
      <c r="M56">
        <v>2.57</v>
      </c>
      <c r="N56">
        <v>3.34</v>
      </c>
      <c r="O56">
        <v>3.1</v>
      </c>
      <c r="P56">
        <v>2.66</v>
      </c>
      <c r="Q56">
        <v>2.15</v>
      </c>
      <c r="R56">
        <v>4.32</v>
      </c>
      <c r="S56">
        <v>3.04</v>
      </c>
      <c r="T56">
        <v>2.77</v>
      </c>
      <c r="U56">
        <v>4.82</v>
      </c>
      <c r="V56">
        <v>4.3499999999999996</v>
      </c>
      <c r="W56">
        <v>1.79</v>
      </c>
      <c r="X56">
        <v>4.0199999999999996</v>
      </c>
      <c r="Y56" s="3">
        <f>AVERAGE(Table2[[#This Row],[Jan]:[Dec]])</f>
        <v>3.2441666666666662</v>
      </c>
      <c r="Z56" t="str">
        <f>IF(Table2[[#This Row],[Average]]&lt;3,"Low",IF(Table2[[#This Row],[Average]]&lt;=4,"Med",IF(Table2[[#This Row],[Average]]&gt;4,"High")))</f>
        <v>Med</v>
      </c>
    </row>
    <row r="57" spans="1:26" x14ac:dyDescent="0.25">
      <c r="A57">
        <v>262261</v>
      </c>
      <c r="B57" t="s">
        <v>94</v>
      </c>
      <c r="C57" t="s">
        <v>32</v>
      </c>
      <c r="D57" t="s">
        <v>71</v>
      </c>
      <c r="E57" t="s">
        <v>165</v>
      </c>
      <c r="F57" t="s">
        <v>72</v>
      </c>
      <c r="G57" t="s">
        <v>29</v>
      </c>
      <c r="H57" s="1">
        <v>31469</v>
      </c>
      <c r="I57" s="1">
        <v>40112</v>
      </c>
      <c r="J57" s="2">
        <f ca="1">DATEDIF(Table2[[#This Row],[Tanggal Lahir]],NOW(),"Y")</f>
        <v>40</v>
      </c>
      <c r="K57" s="1" t="str">
        <f ca="1">IF(Table2[[#This Row],[Usia]]&lt;25,"Gen Z",IF(Table2[[#This Row],[Usia]]&lt;40,"Gen Y",IF(Table2[[#This Row],[Usia]]&lt;56,"Gen X",IF(Table2[[#This Row],[Usia]]&gt;=56,"Baby Boomer"))))</f>
        <v>Gen X</v>
      </c>
      <c r="L57" t="s">
        <v>27</v>
      </c>
      <c r="M57">
        <v>1.52</v>
      </c>
      <c r="N57">
        <v>1.64</v>
      </c>
      <c r="O57">
        <v>4.1900000000000004</v>
      </c>
      <c r="P57">
        <v>3.8</v>
      </c>
      <c r="Q57">
        <v>4.67</v>
      </c>
      <c r="R57">
        <v>4.76</v>
      </c>
      <c r="S57">
        <v>2</v>
      </c>
      <c r="T57">
        <v>2.5499999999999998</v>
      </c>
      <c r="U57">
        <v>4.17</v>
      </c>
      <c r="V57">
        <v>1.05</v>
      </c>
      <c r="W57">
        <v>1.28</v>
      </c>
      <c r="X57">
        <v>3.1</v>
      </c>
      <c r="Y57" s="3">
        <f>AVERAGE(Table2[[#This Row],[Jan]:[Dec]])</f>
        <v>2.8941666666666666</v>
      </c>
      <c r="Z57" t="str">
        <f>IF(Table2[[#This Row],[Average]]&lt;3,"Low",IF(Table2[[#This Row],[Average]]&lt;=4,"Med",IF(Table2[[#This Row],[Average]]&gt;4,"High")))</f>
        <v>Low</v>
      </c>
    </row>
    <row r="58" spans="1:26" x14ac:dyDescent="0.25">
      <c r="A58">
        <v>263825</v>
      </c>
      <c r="B58" t="s">
        <v>95</v>
      </c>
      <c r="C58" t="s">
        <v>23</v>
      </c>
      <c r="D58" t="s">
        <v>24</v>
      </c>
      <c r="E58" t="s">
        <v>164</v>
      </c>
      <c r="F58" t="s">
        <v>25</v>
      </c>
      <c r="G58" t="s">
        <v>29</v>
      </c>
      <c r="H58" s="1">
        <v>32972</v>
      </c>
      <c r="I58" s="1">
        <v>42948</v>
      </c>
      <c r="J58" s="2">
        <f ca="1">DATEDIF(Table2[[#This Row],[Tanggal Lahir]],NOW(),"Y")</f>
        <v>36</v>
      </c>
      <c r="K58" s="1" t="str">
        <f ca="1">IF(Table2[[#This Row],[Usia]]&lt;25,"Gen Z",IF(Table2[[#This Row],[Usia]]&lt;40,"Gen Y",IF(Table2[[#This Row],[Usia]]&lt;56,"Gen X",IF(Table2[[#This Row],[Usia]]&gt;=56,"Baby Boomer"))))</f>
        <v>Gen Y</v>
      </c>
      <c r="L58" t="s">
        <v>33</v>
      </c>
      <c r="M58">
        <v>1.32</v>
      </c>
      <c r="N58">
        <v>3.31</v>
      </c>
      <c r="O58">
        <v>3.42</v>
      </c>
      <c r="P58">
        <v>4.8600000000000003</v>
      </c>
      <c r="Q58">
        <v>4.0199999999999996</v>
      </c>
      <c r="R58">
        <v>2.5499999999999998</v>
      </c>
      <c r="S58">
        <v>4.09</v>
      </c>
      <c r="T58">
        <v>4.84</v>
      </c>
      <c r="U58">
        <v>4.42</v>
      </c>
      <c r="V58">
        <v>1.39</v>
      </c>
      <c r="W58">
        <v>4.03</v>
      </c>
      <c r="X58">
        <v>1.49</v>
      </c>
      <c r="Y58" s="3">
        <f>AVERAGE(Table2[[#This Row],[Jan]:[Dec]])</f>
        <v>3.311666666666667</v>
      </c>
      <c r="Z58" t="str">
        <f>IF(Table2[[#This Row],[Average]]&lt;3,"Low",IF(Table2[[#This Row],[Average]]&lt;=4,"Med",IF(Table2[[#This Row],[Average]]&gt;4,"High")))</f>
        <v>Med</v>
      </c>
    </row>
    <row r="59" spans="1:26" x14ac:dyDescent="0.25">
      <c r="A59">
        <v>264056</v>
      </c>
      <c r="B59" t="s">
        <v>96</v>
      </c>
      <c r="C59" t="s">
        <v>23</v>
      </c>
      <c r="D59" t="s">
        <v>24</v>
      </c>
      <c r="E59" t="s">
        <v>165</v>
      </c>
      <c r="F59" t="s">
        <v>25</v>
      </c>
      <c r="G59" t="s">
        <v>29</v>
      </c>
      <c r="H59" s="1">
        <v>33578</v>
      </c>
      <c r="I59" s="1">
        <v>42917</v>
      </c>
      <c r="J59" s="2">
        <f ca="1">DATEDIF(Table2[[#This Row],[Tanggal Lahir]],NOW(),"Y")</f>
        <v>34</v>
      </c>
      <c r="K59" s="1" t="str">
        <f ca="1">IF(Table2[[#This Row],[Usia]]&lt;25,"Gen Z",IF(Table2[[#This Row],[Usia]]&lt;40,"Gen Y",IF(Table2[[#This Row],[Usia]]&lt;56,"Gen X",IF(Table2[[#This Row],[Usia]]&gt;=56,"Baby Boomer"))))</f>
        <v>Gen Y</v>
      </c>
      <c r="L59" t="s">
        <v>33</v>
      </c>
      <c r="M59">
        <v>3.27</v>
      </c>
      <c r="N59">
        <v>2.72</v>
      </c>
      <c r="O59">
        <v>3.1</v>
      </c>
      <c r="P59">
        <v>1.93</v>
      </c>
      <c r="Q59">
        <v>4.32</v>
      </c>
      <c r="R59">
        <v>2.91</v>
      </c>
      <c r="S59">
        <v>4.38</v>
      </c>
      <c r="T59">
        <v>4.6100000000000003</v>
      </c>
      <c r="U59">
        <v>2.25</v>
      </c>
      <c r="V59">
        <v>4.96</v>
      </c>
      <c r="W59">
        <v>1.47</v>
      </c>
      <c r="X59">
        <v>4.6900000000000004</v>
      </c>
      <c r="Y59" s="3">
        <f>AVERAGE(Table2[[#This Row],[Jan]:[Dec]])</f>
        <v>3.3841666666666659</v>
      </c>
      <c r="Z59" t="str">
        <f>IF(Table2[[#This Row],[Average]]&lt;3,"Low",IF(Table2[[#This Row],[Average]]&lt;=4,"Med",IF(Table2[[#This Row],[Average]]&gt;4,"High")))</f>
        <v>Med</v>
      </c>
    </row>
    <row r="60" spans="1:26" x14ac:dyDescent="0.25">
      <c r="A60">
        <v>265747</v>
      </c>
      <c r="B60" t="s">
        <v>97</v>
      </c>
      <c r="C60" t="s">
        <v>32</v>
      </c>
      <c r="D60" t="s">
        <v>24</v>
      </c>
      <c r="E60" t="s">
        <v>164</v>
      </c>
      <c r="F60" t="s">
        <v>35</v>
      </c>
      <c r="G60" t="s">
        <v>26</v>
      </c>
      <c r="H60" s="1">
        <v>34652</v>
      </c>
      <c r="I60" s="1">
        <v>44239</v>
      </c>
      <c r="J60" s="2">
        <f ca="1">DATEDIF(Table2[[#This Row],[Tanggal Lahir]],NOW(),"Y")</f>
        <v>31</v>
      </c>
      <c r="K60" s="1" t="str">
        <f ca="1">IF(Table2[[#This Row],[Usia]]&lt;25,"Gen Z",IF(Table2[[#This Row],[Usia]]&lt;40,"Gen Y",IF(Table2[[#This Row],[Usia]]&lt;56,"Gen X",IF(Table2[[#This Row],[Usia]]&gt;=56,"Baby Boomer"))))</f>
        <v>Gen Y</v>
      </c>
      <c r="L60" t="s">
        <v>33</v>
      </c>
      <c r="M60">
        <v>1.9</v>
      </c>
      <c r="N60">
        <v>4.3600000000000003</v>
      </c>
      <c r="O60">
        <v>1.91</v>
      </c>
      <c r="P60">
        <v>1.02</v>
      </c>
      <c r="Q60">
        <v>3.86</v>
      </c>
      <c r="R60">
        <v>3.09</v>
      </c>
      <c r="S60">
        <v>1.79</v>
      </c>
      <c r="T60">
        <v>2.79</v>
      </c>
      <c r="U60">
        <v>1.05</v>
      </c>
      <c r="V60">
        <v>3.61</v>
      </c>
      <c r="W60">
        <v>4.12</v>
      </c>
      <c r="X60">
        <v>4.1500000000000004</v>
      </c>
      <c r="Y60" s="3">
        <f>AVERAGE(Table2[[#This Row],[Jan]:[Dec]])</f>
        <v>2.8041666666666667</v>
      </c>
      <c r="Z60" t="str">
        <f>IF(Table2[[#This Row],[Average]]&lt;3,"Low",IF(Table2[[#This Row],[Average]]&lt;=4,"Med",IF(Table2[[#This Row],[Average]]&gt;4,"High")))</f>
        <v>Low</v>
      </c>
    </row>
    <row r="61" spans="1:26" x14ac:dyDescent="0.25">
      <c r="A61">
        <v>266726</v>
      </c>
      <c r="B61" t="s">
        <v>98</v>
      </c>
      <c r="C61" t="s">
        <v>23</v>
      </c>
      <c r="D61" t="s">
        <v>24</v>
      </c>
      <c r="E61" t="s">
        <v>164</v>
      </c>
      <c r="F61" t="s">
        <v>25</v>
      </c>
      <c r="G61" t="s">
        <v>26</v>
      </c>
      <c r="H61" s="1">
        <v>32547</v>
      </c>
      <c r="I61" s="1">
        <v>43101</v>
      </c>
      <c r="J61" s="2">
        <f ca="1">DATEDIF(Table2[[#This Row],[Tanggal Lahir]],NOW(),"Y")</f>
        <v>37</v>
      </c>
      <c r="K61" s="1" t="str">
        <f ca="1">IF(Table2[[#This Row],[Usia]]&lt;25,"Gen Z",IF(Table2[[#This Row],[Usia]]&lt;40,"Gen Y",IF(Table2[[#This Row],[Usia]]&lt;56,"Gen X",IF(Table2[[#This Row],[Usia]]&gt;=56,"Baby Boomer"))))</f>
        <v>Gen Y</v>
      </c>
      <c r="L61" t="s">
        <v>33</v>
      </c>
      <c r="M61">
        <v>1.59</v>
      </c>
      <c r="N61">
        <v>3.26</v>
      </c>
      <c r="O61">
        <v>2.04</v>
      </c>
      <c r="P61">
        <v>4.99</v>
      </c>
      <c r="Q61">
        <v>1.51</v>
      </c>
      <c r="R61">
        <v>4.5999999999999996</v>
      </c>
      <c r="S61">
        <v>2.1800000000000002</v>
      </c>
      <c r="T61">
        <v>3.83</v>
      </c>
      <c r="U61">
        <v>1.41</v>
      </c>
      <c r="V61">
        <v>1.3</v>
      </c>
      <c r="W61">
        <v>2.04</v>
      </c>
      <c r="X61">
        <v>1.3</v>
      </c>
      <c r="Y61" s="3">
        <f>AVERAGE(Table2[[#This Row],[Jan]:[Dec]])</f>
        <v>2.5041666666666669</v>
      </c>
      <c r="Z61" t="str">
        <f>IF(Table2[[#This Row],[Average]]&lt;3,"Low",IF(Table2[[#This Row],[Average]]&lt;=4,"Med",IF(Table2[[#This Row],[Average]]&gt;4,"High")))</f>
        <v>Low</v>
      </c>
    </row>
    <row r="62" spans="1:26" x14ac:dyDescent="0.25">
      <c r="A62">
        <v>273855</v>
      </c>
      <c r="B62" t="s">
        <v>99</v>
      </c>
      <c r="C62" t="s">
        <v>23</v>
      </c>
      <c r="D62" t="s">
        <v>24</v>
      </c>
      <c r="E62" t="s">
        <v>165</v>
      </c>
      <c r="F62" t="s">
        <v>25</v>
      </c>
      <c r="G62" t="s">
        <v>26</v>
      </c>
      <c r="H62" s="1">
        <v>30297</v>
      </c>
      <c r="I62" s="1">
        <v>42917</v>
      </c>
      <c r="J62" s="2">
        <f ca="1">DATEDIF(Table2[[#This Row],[Tanggal Lahir]],NOW(),"Y")</f>
        <v>43</v>
      </c>
      <c r="K62" s="1" t="str">
        <f ca="1">IF(Table2[[#This Row],[Usia]]&lt;25,"Gen Z",IF(Table2[[#This Row],[Usia]]&lt;40,"Gen Y",IF(Table2[[#This Row],[Usia]]&lt;56,"Gen X",IF(Table2[[#This Row],[Usia]]&gt;=56,"Baby Boomer"))))</f>
        <v>Gen X</v>
      </c>
      <c r="L62" t="s">
        <v>27</v>
      </c>
      <c r="M62">
        <v>3.91</v>
      </c>
      <c r="N62">
        <v>4.8099999999999996</v>
      </c>
      <c r="O62">
        <v>3.15</v>
      </c>
      <c r="P62">
        <v>2.99</v>
      </c>
      <c r="Q62">
        <v>1.89</v>
      </c>
      <c r="R62">
        <v>1.18</v>
      </c>
      <c r="S62">
        <v>4.67</v>
      </c>
      <c r="T62">
        <v>2.4900000000000002</v>
      </c>
      <c r="U62">
        <v>4.51</v>
      </c>
      <c r="V62">
        <v>4.66</v>
      </c>
      <c r="W62">
        <v>4.53</v>
      </c>
      <c r="X62">
        <v>1.45</v>
      </c>
      <c r="Y62" s="3">
        <f>AVERAGE(Table2[[#This Row],[Jan]:[Dec]])</f>
        <v>3.3533333333333339</v>
      </c>
      <c r="Z62" t="str">
        <f>IF(Table2[[#This Row],[Average]]&lt;3,"Low",IF(Table2[[#This Row],[Average]]&lt;=4,"Med",IF(Table2[[#This Row],[Average]]&gt;4,"High")))</f>
        <v>Med</v>
      </c>
    </row>
    <row r="63" spans="1:26" x14ac:dyDescent="0.25">
      <c r="A63">
        <v>275704</v>
      </c>
      <c r="B63" t="s">
        <v>100</v>
      </c>
      <c r="C63" t="s">
        <v>23</v>
      </c>
      <c r="D63" t="s">
        <v>24</v>
      </c>
      <c r="E63" t="s">
        <v>164</v>
      </c>
      <c r="F63" t="s">
        <v>25</v>
      </c>
      <c r="G63" t="s">
        <v>29</v>
      </c>
      <c r="H63" s="1">
        <v>31661</v>
      </c>
      <c r="I63" s="1">
        <v>40348</v>
      </c>
      <c r="J63" s="2">
        <f ca="1">DATEDIF(Table2[[#This Row],[Tanggal Lahir]],NOW(),"Y")</f>
        <v>39</v>
      </c>
      <c r="K63" s="1" t="str">
        <f ca="1">IF(Table2[[#This Row],[Usia]]&lt;25,"Gen Z",IF(Table2[[#This Row],[Usia]]&lt;40,"Gen Y",IF(Table2[[#This Row],[Usia]]&lt;56,"Gen X",IF(Table2[[#This Row],[Usia]]&gt;=56,"Baby Boomer"))))</f>
        <v>Gen Y</v>
      </c>
      <c r="L63" t="s">
        <v>33</v>
      </c>
      <c r="M63">
        <v>1.73</v>
      </c>
      <c r="N63">
        <v>4.08</v>
      </c>
      <c r="O63">
        <v>2.44</v>
      </c>
      <c r="P63">
        <v>1.26</v>
      </c>
      <c r="Q63">
        <v>3.5</v>
      </c>
      <c r="R63">
        <v>3.37</v>
      </c>
      <c r="S63">
        <v>3.98</v>
      </c>
      <c r="T63">
        <v>3.28</v>
      </c>
      <c r="U63">
        <v>3.96</v>
      </c>
      <c r="V63">
        <v>3.75</v>
      </c>
      <c r="W63">
        <v>3.33</v>
      </c>
      <c r="X63">
        <v>2.79</v>
      </c>
      <c r="Y63" s="3">
        <f>AVERAGE(Table2[[#This Row],[Jan]:[Dec]])</f>
        <v>3.1225000000000001</v>
      </c>
      <c r="Z63" t="str">
        <f>IF(Table2[[#This Row],[Average]]&lt;3,"Low",IF(Table2[[#This Row],[Average]]&lt;=4,"Med",IF(Table2[[#This Row],[Average]]&gt;4,"High")))</f>
        <v>Med</v>
      </c>
    </row>
    <row r="64" spans="1:26" x14ac:dyDescent="0.25">
      <c r="A64">
        <v>276416</v>
      </c>
      <c r="B64" t="s">
        <v>101</v>
      </c>
      <c r="C64" t="s">
        <v>32</v>
      </c>
      <c r="D64" t="s">
        <v>38</v>
      </c>
      <c r="E64" t="s">
        <v>164</v>
      </c>
      <c r="F64" t="s">
        <v>25</v>
      </c>
      <c r="G64" t="s">
        <v>26</v>
      </c>
      <c r="H64" s="1">
        <v>34084</v>
      </c>
      <c r="I64" s="1">
        <v>41730</v>
      </c>
      <c r="J64" s="2">
        <f ca="1">DATEDIF(Table2[[#This Row],[Tanggal Lahir]],NOW(),"Y")</f>
        <v>33</v>
      </c>
      <c r="K64" s="1" t="str">
        <f ca="1">IF(Table2[[#This Row],[Usia]]&lt;25,"Gen Z",IF(Table2[[#This Row],[Usia]]&lt;40,"Gen Y",IF(Table2[[#This Row],[Usia]]&lt;56,"Gen X",IF(Table2[[#This Row],[Usia]]&gt;=56,"Baby Boomer"))))</f>
        <v>Gen Y</v>
      </c>
      <c r="L64" t="s">
        <v>30</v>
      </c>
      <c r="M64">
        <v>2.02</v>
      </c>
      <c r="N64">
        <v>1.17</v>
      </c>
      <c r="O64">
        <v>4.16</v>
      </c>
      <c r="P64">
        <v>3.9</v>
      </c>
      <c r="Q64">
        <v>3.27</v>
      </c>
      <c r="R64">
        <v>1.22</v>
      </c>
      <c r="S64">
        <v>4.16</v>
      </c>
      <c r="T64">
        <v>2.36</v>
      </c>
      <c r="U64">
        <v>3.15</v>
      </c>
      <c r="V64">
        <v>3.23</v>
      </c>
      <c r="W64">
        <v>1.32</v>
      </c>
      <c r="X64">
        <v>4.3899999999999997</v>
      </c>
      <c r="Y64" s="3">
        <f>AVERAGE(Table2[[#This Row],[Jan]:[Dec]])</f>
        <v>2.8624999999999994</v>
      </c>
      <c r="Z64" t="str">
        <f>IF(Table2[[#This Row],[Average]]&lt;3,"Low",IF(Table2[[#This Row],[Average]]&lt;=4,"Med",IF(Table2[[#This Row],[Average]]&gt;4,"High")))</f>
        <v>Low</v>
      </c>
    </row>
    <row r="65" spans="1:26" x14ac:dyDescent="0.25">
      <c r="A65">
        <v>282069</v>
      </c>
      <c r="B65" t="s">
        <v>102</v>
      </c>
      <c r="C65" t="s">
        <v>41</v>
      </c>
      <c r="D65" t="s">
        <v>24</v>
      </c>
      <c r="E65" t="s">
        <v>164</v>
      </c>
      <c r="F65" t="s">
        <v>35</v>
      </c>
      <c r="G65" t="s">
        <v>26</v>
      </c>
      <c r="H65" s="1">
        <v>33372</v>
      </c>
      <c r="I65" s="1">
        <v>44051</v>
      </c>
      <c r="J65" s="2">
        <f ca="1">DATEDIF(Table2[[#This Row],[Tanggal Lahir]],NOW(),"Y")</f>
        <v>35</v>
      </c>
      <c r="K65" s="1" t="str">
        <f ca="1">IF(Table2[[#This Row],[Usia]]&lt;25,"Gen Z",IF(Table2[[#This Row],[Usia]]&lt;40,"Gen Y",IF(Table2[[#This Row],[Usia]]&lt;56,"Gen X",IF(Table2[[#This Row],[Usia]]&gt;=56,"Baby Boomer"))))</f>
        <v>Gen Y</v>
      </c>
      <c r="L65" t="s">
        <v>30</v>
      </c>
      <c r="M65">
        <v>2.83</v>
      </c>
      <c r="N65">
        <v>1.35</v>
      </c>
      <c r="O65">
        <v>1.1499999999999999</v>
      </c>
      <c r="P65">
        <v>3.74</v>
      </c>
      <c r="Q65">
        <v>1.04</v>
      </c>
      <c r="R65">
        <v>3.73</v>
      </c>
      <c r="S65">
        <v>1.56</v>
      </c>
      <c r="T65">
        <v>4.7</v>
      </c>
      <c r="U65">
        <v>2.0099999999999998</v>
      </c>
      <c r="V65">
        <v>1.67</v>
      </c>
      <c r="W65">
        <v>1.52</v>
      </c>
      <c r="X65">
        <v>4.91</v>
      </c>
      <c r="Y65" s="3">
        <f>AVERAGE(Table2[[#This Row],[Jan]:[Dec]])</f>
        <v>2.5175000000000001</v>
      </c>
      <c r="Z65" t="str">
        <f>IF(Table2[[#This Row],[Average]]&lt;3,"Low",IF(Table2[[#This Row],[Average]]&lt;=4,"Med",IF(Table2[[#This Row],[Average]]&gt;4,"High")))</f>
        <v>Low</v>
      </c>
    </row>
    <row r="66" spans="1:26" x14ac:dyDescent="0.25">
      <c r="A66">
        <v>282653</v>
      </c>
      <c r="B66" t="s">
        <v>103</v>
      </c>
      <c r="C66" t="s">
        <v>23</v>
      </c>
      <c r="D66" t="s">
        <v>24</v>
      </c>
      <c r="E66" t="s">
        <v>164</v>
      </c>
      <c r="F66" t="s">
        <v>25</v>
      </c>
      <c r="G66" t="s">
        <v>29</v>
      </c>
      <c r="H66" s="1">
        <v>37481</v>
      </c>
      <c r="I66" s="1">
        <v>42461</v>
      </c>
      <c r="J66" s="2">
        <f ca="1">DATEDIF(Table2[[#This Row],[Tanggal Lahir]],NOW(),"Y")</f>
        <v>23</v>
      </c>
      <c r="K66" s="1" t="str">
        <f ca="1">IF(Table2[[#This Row],[Usia]]&lt;25,"Gen Z",IF(Table2[[#This Row],[Usia]]&lt;40,"Gen Y",IF(Table2[[#This Row],[Usia]]&lt;56,"Gen X",IF(Table2[[#This Row],[Usia]]&gt;=56,"Baby Boomer"))))</f>
        <v>Gen Z</v>
      </c>
      <c r="L66" t="s">
        <v>104</v>
      </c>
      <c r="M66">
        <v>2.2999999999999998</v>
      </c>
      <c r="N66">
        <v>4.0999999999999996</v>
      </c>
      <c r="O66">
        <v>3.85</v>
      </c>
      <c r="P66">
        <v>2.6</v>
      </c>
      <c r="Q66">
        <v>3.34</v>
      </c>
      <c r="R66">
        <v>4.21</v>
      </c>
      <c r="S66">
        <v>1.79</v>
      </c>
      <c r="T66">
        <v>4.32</v>
      </c>
      <c r="U66">
        <v>2.35</v>
      </c>
      <c r="V66">
        <v>4.5199999999999996</v>
      </c>
      <c r="W66">
        <v>3.23</v>
      </c>
      <c r="X66">
        <v>1.85</v>
      </c>
      <c r="Y66" s="3">
        <f>AVERAGE(Table2[[#This Row],[Jan]:[Dec]])</f>
        <v>3.2049999999999996</v>
      </c>
      <c r="Z66" t="str">
        <f>IF(Table2[[#This Row],[Average]]&lt;3,"Low",IF(Table2[[#This Row],[Average]]&lt;=4,"Med",IF(Table2[[#This Row],[Average]]&gt;4,"High")))</f>
        <v>Med</v>
      </c>
    </row>
    <row r="67" spans="1:26" x14ac:dyDescent="0.25">
      <c r="A67">
        <v>286194</v>
      </c>
      <c r="B67" t="s">
        <v>105</v>
      </c>
      <c r="C67" t="s">
        <v>23</v>
      </c>
      <c r="D67" t="s">
        <v>38</v>
      </c>
      <c r="E67" t="s">
        <v>165</v>
      </c>
      <c r="F67" t="s">
        <v>25</v>
      </c>
      <c r="G67" t="s">
        <v>29</v>
      </c>
      <c r="H67" s="1">
        <v>32752</v>
      </c>
      <c r="I67" s="1">
        <v>41934</v>
      </c>
      <c r="J67" s="2">
        <f ca="1">DATEDIF(Table2[[#This Row],[Tanggal Lahir]],NOW(),"Y")</f>
        <v>36</v>
      </c>
      <c r="K67" s="1" t="str">
        <f ca="1">IF(Table2[[#This Row],[Usia]]&lt;25,"Gen Z",IF(Table2[[#This Row],[Usia]]&lt;40,"Gen Y",IF(Table2[[#This Row],[Usia]]&lt;56,"Gen X",IF(Table2[[#This Row],[Usia]]&gt;=56,"Baby Boomer"))))</f>
        <v>Gen Y</v>
      </c>
      <c r="L67" t="s">
        <v>33</v>
      </c>
      <c r="M67">
        <v>4.05</v>
      </c>
      <c r="N67">
        <v>3.17</v>
      </c>
      <c r="O67">
        <v>1.1299999999999999</v>
      </c>
      <c r="P67">
        <v>2.4300000000000002</v>
      </c>
      <c r="Q67">
        <v>3.49</v>
      </c>
      <c r="R67">
        <v>3.22</v>
      </c>
      <c r="S67">
        <v>2.2799999999999998</v>
      </c>
      <c r="T67">
        <v>2.63</v>
      </c>
      <c r="U67">
        <v>3.12</v>
      </c>
      <c r="V67">
        <v>1.68</v>
      </c>
      <c r="W67">
        <v>4.6399999999999997</v>
      </c>
      <c r="X67">
        <v>2.4500000000000002</v>
      </c>
      <c r="Y67" s="3">
        <f>AVERAGE(Table2[[#This Row],[Jan]:[Dec]])</f>
        <v>2.8574999999999999</v>
      </c>
      <c r="Z67" t="str">
        <f>IF(Table2[[#This Row],[Average]]&lt;3,"Low",IF(Table2[[#This Row],[Average]]&lt;=4,"Med",IF(Table2[[#This Row],[Average]]&gt;4,"High")))</f>
        <v>Low</v>
      </c>
    </row>
    <row r="68" spans="1:26" x14ac:dyDescent="0.25">
      <c r="A68">
        <v>286203</v>
      </c>
      <c r="B68" t="s">
        <v>106</v>
      </c>
      <c r="C68" t="s">
        <v>23</v>
      </c>
      <c r="D68" t="s">
        <v>24</v>
      </c>
      <c r="E68" t="s">
        <v>165</v>
      </c>
      <c r="F68" t="s">
        <v>25</v>
      </c>
      <c r="G68" t="s">
        <v>26</v>
      </c>
      <c r="H68" s="1">
        <v>32671</v>
      </c>
      <c r="I68" s="1">
        <v>43009</v>
      </c>
      <c r="J68" s="2">
        <f ca="1">DATEDIF(Table2[[#This Row],[Tanggal Lahir]],NOW(),"Y")</f>
        <v>37</v>
      </c>
      <c r="K68" s="1" t="str">
        <f ca="1">IF(Table2[[#This Row],[Usia]]&lt;25,"Gen Z",IF(Table2[[#This Row],[Usia]]&lt;40,"Gen Y",IF(Table2[[#This Row],[Usia]]&lt;56,"Gen X",IF(Table2[[#This Row],[Usia]]&gt;=56,"Baby Boomer"))))</f>
        <v>Gen Y</v>
      </c>
      <c r="L68" t="s">
        <v>27</v>
      </c>
      <c r="M68">
        <v>4.05</v>
      </c>
      <c r="N68">
        <v>3.53</v>
      </c>
      <c r="O68">
        <v>2.31</v>
      </c>
      <c r="P68">
        <v>3.69</v>
      </c>
      <c r="Q68">
        <v>1.37</v>
      </c>
      <c r="R68">
        <v>4.03</v>
      </c>
      <c r="S68">
        <v>2.42</v>
      </c>
      <c r="T68">
        <v>2.97</v>
      </c>
      <c r="U68">
        <v>2.04</v>
      </c>
      <c r="V68">
        <v>1.17</v>
      </c>
      <c r="W68">
        <v>1.29</v>
      </c>
      <c r="X68">
        <v>4.45</v>
      </c>
      <c r="Y68" s="3">
        <f>AVERAGE(Table2[[#This Row],[Jan]:[Dec]])</f>
        <v>2.7766666666666668</v>
      </c>
      <c r="Z68" t="str">
        <f>IF(Table2[[#This Row],[Average]]&lt;3,"Low",IF(Table2[[#This Row],[Average]]&lt;=4,"Med",IF(Table2[[#This Row],[Average]]&gt;4,"High")))</f>
        <v>Low</v>
      </c>
    </row>
    <row r="69" spans="1:26" x14ac:dyDescent="0.25">
      <c r="A69">
        <v>286426</v>
      </c>
      <c r="B69" t="s">
        <v>107</v>
      </c>
      <c r="C69" t="s">
        <v>23</v>
      </c>
      <c r="D69" t="s">
        <v>24</v>
      </c>
      <c r="E69" t="s">
        <v>164</v>
      </c>
      <c r="F69" t="s">
        <v>25</v>
      </c>
      <c r="G69" t="s">
        <v>26</v>
      </c>
      <c r="H69" s="1">
        <v>33047</v>
      </c>
      <c r="I69" s="1">
        <v>42461</v>
      </c>
      <c r="J69" s="2">
        <f ca="1">DATEDIF(Table2[[#This Row],[Tanggal Lahir]],NOW(),"Y")</f>
        <v>36</v>
      </c>
      <c r="K69" s="1" t="str">
        <f ca="1">IF(Table2[[#This Row],[Usia]]&lt;25,"Gen Z",IF(Table2[[#This Row],[Usia]]&lt;40,"Gen Y",IF(Table2[[#This Row],[Usia]]&lt;56,"Gen X",IF(Table2[[#This Row],[Usia]]&gt;=56,"Baby Boomer"))))</f>
        <v>Gen Y</v>
      </c>
      <c r="L69" t="s">
        <v>33</v>
      </c>
      <c r="M69">
        <v>2.81</v>
      </c>
      <c r="N69">
        <v>3.45</v>
      </c>
      <c r="O69">
        <v>1.0900000000000001</v>
      </c>
      <c r="P69">
        <v>4.46</v>
      </c>
      <c r="Q69">
        <v>1.89</v>
      </c>
      <c r="R69">
        <v>2.2599999999999998</v>
      </c>
      <c r="S69">
        <v>2.59</v>
      </c>
      <c r="T69">
        <v>4</v>
      </c>
      <c r="U69">
        <v>1.62</v>
      </c>
      <c r="V69">
        <v>2.5499999999999998</v>
      </c>
      <c r="W69">
        <v>4.16</v>
      </c>
      <c r="X69">
        <v>2.16</v>
      </c>
      <c r="Y69" s="3">
        <f>AVERAGE(Table2[[#This Row],[Jan]:[Dec]])</f>
        <v>2.7533333333333334</v>
      </c>
      <c r="Z69" t="str">
        <f>IF(Table2[[#This Row],[Average]]&lt;3,"Low",IF(Table2[[#This Row],[Average]]&lt;=4,"Med",IF(Table2[[#This Row],[Average]]&gt;4,"High")))</f>
        <v>Low</v>
      </c>
    </row>
    <row r="70" spans="1:26" x14ac:dyDescent="0.25">
      <c r="A70">
        <v>288138</v>
      </c>
      <c r="B70" t="s">
        <v>108</v>
      </c>
      <c r="C70" t="s">
        <v>23</v>
      </c>
      <c r="D70" t="s">
        <v>24</v>
      </c>
      <c r="E70" t="s">
        <v>164</v>
      </c>
      <c r="F70" t="s">
        <v>25</v>
      </c>
      <c r="G70" t="s">
        <v>29</v>
      </c>
      <c r="H70" s="1">
        <v>32787</v>
      </c>
      <c r="I70" s="1">
        <v>41409</v>
      </c>
      <c r="J70" s="2">
        <f ca="1">DATEDIF(Table2[[#This Row],[Tanggal Lahir]],NOW(),"Y")</f>
        <v>36</v>
      </c>
      <c r="K70" s="1" t="str">
        <f ca="1">IF(Table2[[#This Row],[Usia]]&lt;25,"Gen Z",IF(Table2[[#This Row],[Usia]]&lt;40,"Gen Y",IF(Table2[[#This Row],[Usia]]&lt;56,"Gen X",IF(Table2[[#This Row],[Usia]]&gt;=56,"Baby Boomer"))))</f>
        <v>Gen Y</v>
      </c>
      <c r="L70" t="s">
        <v>50</v>
      </c>
      <c r="M70">
        <v>4.63</v>
      </c>
      <c r="N70">
        <v>1.1200000000000001</v>
      </c>
      <c r="O70">
        <v>4.26</v>
      </c>
      <c r="P70">
        <v>4.43</v>
      </c>
      <c r="Q70">
        <v>3.1</v>
      </c>
      <c r="R70">
        <v>2.79</v>
      </c>
      <c r="S70">
        <v>3.96</v>
      </c>
      <c r="T70">
        <v>2.31</v>
      </c>
      <c r="U70">
        <v>4.76</v>
      </c>
      <c r="V70">
        <v>2.2200000000000002</v>
      </c>
      <c r="W70">
        <v>1.37</v>
      </c>
      <c r="X70">
        <v>1.97</v>
      </c>
      <c r="Y70" s="3">
        <f>AVERAGE(Table2[[#This Row],[Jan]:[Dec]])</f>
        <v>3.0766666666666662</v>
      </c>
      <c r="Z70" t="str">
        <f>IF(Table2[[#This Row],[Average]]&lt;3,"Low",IF(Table2[[#This Row],[Average]]&lt;=4,"Med",IF(Table2[[#This Row],[Average]]&gt;4,"High")))</f>
        <v>Med</v>
      </c>
    </row>
    <row r="71" spans="1:26" x14ac:dyDescent="0.25">
      <c r="A71">
        <v>288251</v>
      </c>
      <c r="B71" t="s">
        <v>109</v>
      </c>
      <c r="C71" t="s">
        <v>23</v>
      </c>
      <c r="D71" t="s">
        <v>24</v>
      </c>
      <c r="E71" t="s">
        <v>165</v>
      </c>
      <c r="F71" t="s">
        <v>25</v>
      </c>
      <c r="G71" t="s">
        <v>26</v>
      </c>
      <c r="H71" s="1">
        <v>29620</v>
      </c>
      <c r="I71" s="1">
        <v>40952</v>
      </c>
      <c r="J71" s="2">
        <f ca="1">DATEDIF(Table2[[#This Row],[Tanggal Lahir]],NOW(),"Y")</f>
        <v>45</v>
      </c>
      <c r="K71" s="1" t="str">
        <f ca="1">IF(Table2[[#This Row],[Usia]]&lt;25,"Gen Z",IF(Table2[[#This Row],[Usia]]&lt;40,"Gen Y",IF(Table2[[#This Row],[Usia]]&lt;56,"Gen X",IF(Table2[[#This Row],[Usia]]&gt;=56,"Baby Boomer"))))</f>
        <v>Gen X</v>
      </c>
      <c r="L71" t="s">
        <v>27</v>
      </c>
      <c r="M71">
        <v>1.1399999999999999</v>
      </c>
      <c r="N71">
        <v>2.15</v>
      </c>
      <c r="O71">
        <v>2.88</v>
      </c>
      <c r="P71">
        <v>1.18</v>
      </c>
      <c r="Q71">
        <v>2.36</v>
      </c>
      <c r="R71">
        <v>3.55</v>
      </c>
      <c r="S71">
        <v>3.6</v>
      </c>
      <c r="T71">
        <v>2.77</v>
      </c>
      <c r="U71">
        <v>2.15</v>
      </c>
      <c r="V71">
        <v>2.27</v>
      </c>
      <c r="W71">
        <v>4.51</v>
      </c>
      <c r="X71">
        <v>2.59</v>
      </c>
      <c r="Y71" s="3">
        <f>AVERAGE(Table2[[#This Row],[Jan]:[Dec]])</f>
        <v>2.5958333333333328</v>
      </c>
      <c r="Z71" t="str">
        <f>IF(Table2[[#This Row],[Average]]&lt;3,"Low",IF(Table2[[#This Row],[Average]]&lt;=4,"Med",IF(Table2[[#This Row],[Average]]&gt;4,"High")))</f>
        <v>Low</v>
      </c>
    </row>
    <row r="72" spans="1:26" x14ac:dyDescent="0.25">
      <c r="A72">
        <v>288912</v>
      </c>
      <c r="B72" t="s">
        <v>110</v>
      </c>
      <c r="C72" t="s">
        <v>32</v>
      </c>
      <c r="D72" t="s">
        <v>24</v>
      </c>
      <c r="E72" t="s">
        <v>165</v>
      </c>
      <c r="F72" t="s">
        <v>25</v>
      </c>
      <c r="G72" t="s">
        <v>26</v>
      </c>
      <c r="H72" s="1">
        <v>31500</v>
      </c>
      <c r="I72" s="1">
        <v>41190</v>
      </c>
      <c r="J72" s="2">
        <f ca="1">DATEDIF(Table2[[#This Row],[Tanggal Lahir]],NOW(),"Y")</f>
        <v>40</v>
      </c>
      <c r="K72" s="1" t="str">
        <f ca="1">IF(Table2[[#This Row],[Usia]]&lt;25,"Gen Z",IF(Table2[[#This Row],[Usia]]&lt;40,"Gen Y",IF(Table2[[#This Row],[Usia]]&lt;56,"Gen X",IF(Table2[[#This Row],[Usia]]&gt;=56,"Baby Boomer"))))</f>
        <v>Gen X</v>
      </c>
      <c r="L72" t="s">
        <v>27</v>
      </c>
      <c r="M72">
        <v>2</v>
      </c>
      <c r="N72">
        <v>2.27</v>
      </c>
      <c r="O72">
        <v>4.78</v>
      </c>
      <c r="P72">
        <v>4.01</v>
      </c>
      <c r="Q72">
        <v>4.26</v>
      </c>
      <c r="R72">
        <v>1.59</v>
      </c>
      <c r="S72">
        <v>1.89</v>
      </c>
      <c r="T72">
        <v>1.9</v>
      </c>
      <c r="U72">
        <v>4.1399999999999997</v>
      </c>
      <c r="V72">
        <v>4.04</v>
      </c>
      <c r="W72">
        <v>1.05</v>
      </c>
      <c r="X72">
        <v>3.11</v>
      </c>
      <c r="Y72" s="3">
        <f>AVERAGE(Table2[[#This Row],[Jan]:[Dec]])</f>
        <v>2.92</v>
      </c>
      <c r="Z72" t="str">
        <f>IF(Table2[[#This Row],[Average]]&lt;3,"Low",IF(Table2[[#This Row],[Average]]&lt;=4,"Med",IF(Table2[[#This Row],[Average]]&gt;4,"High")))</f>
        <v>Low</v>
      </c>
    </row>
    <row r="73" spans="1:26" x14ac:dyDescent="0.25">
      <c r="A73">
        <v>289450</v>
      </c>
      <c r="B73" t="s">
        <v>111</v>
      </c>
      <c r="C73" t="s">
        <v>23</v>
      </c>
      <c r="D73" t="s">
        <v>24</v>
      </c>
      <c r="E73" t="s">
        <v>164</v>
      </c>
      <c r="F73" t="s">
        <v>25</v>
      </c>
      <c r="G73" t="s">
        <v>26</v>
      </c>
      <c r="H73" s="1">
        <v>33809</v>
      </c>
      <c r="I73" s="1">
        <v>42979</v>
      </c>
      <c r="J73" s="2">
        <f ca="1">DATEDIF(Table2[[#This Row],[Tanggal Lahir]],NOW(),"Y")</f>
        <v>34</v>
      </c>
      <c r="K73" s="1" t="str">
        <f ca="1">IF(Table2[[#This Row],[Usia]]&lt;25,"Gen Z",IF(Table2[[#This Row],[Usia]]&lt;40,"Gen Y",IF(Table2[[#This Row],[Usia]]&lt;56,"Gen X",IF(Table2[[#This Row],[Usia]]&gt;=56,"Baby Boomer"))))</f>
        <v>Gen Y</v>
      </c>
      <c r="L73" t="s">
        <v>30</v>
      </c>
      <c r="M73">
        <v>4.04</v>
      </c>
      <c r="N73">
        <v>4.54</v>
      </c>
      <c r="O73">
        <v>3.5</v>
      </c>
      <c r="P73">
        <v>4.93</v>
      </c>
      <c r="Q73">
        <v>1.35</v>
      </c>
      <c r="R73">
        <v>4.88</v>
      </c>
      <c r="S73">
        <v>3.4</v>
      </c>
      <c r="T73">
        <v>2.4700000000000002</v>
      </c>
      <c r="U73">
        <v>4.66</v>
      </c>
      <c r="V73">
        <v>3.04</v>
      </c>
      <c r="W73">
        <v>1.51</v>
      </c>
      <c r="X73">
        <v>3.97</v>
      </c>
      <c r="Y73" s="3">
        <f>AVERAGE(Table2[[#This Row],[Jan]:[Dec]])</f>
        <v>3.524166666666666</v>
      </c>
      <c r="Z73" t="str">
        <f>IF(Table2[[#This Row],[Average]]&lt;3,"Low",IF(Table2[[#This Row],[Average]]&lt;=4,"Med",IF(Table2[[#This Row],[Average]]&gt;4,"High")))</f>
        <v>Med</v>
      </c>
    </row>
    <row r="74" spans="1:26" x14ac:dyDescent="0.25">
      <c r="A74">
        <v>290701</v>
      </c>
      <c r="B74" t="s">
        <v>112</v>
      </c>
      <c r="C74" t="s">
        <v>23</v>
      </c>
      <c r="D74" t="s">
        <v>24</v>
      </c>
      <c r="E74" t="s">
        <v>164</v>
      </c>
      <c r="F74" t="s">
        <v>35</v>
      </c>
      <c r="G74" t="s">
        <v>26</v>
      </c>
      <c r="H74" s="1">
        <v>34631</v>
      </c>
      <c r="I74" s="1">
        <v>44287</v>
      </c>
      <c r="J74" s="2">
        <f ca="1">DATEDIF(Table2[[#This Row],[Tanggal Lahir]],NOW(),"Y")</f>
        <v>31</v>
      </c>
      <c r="K74" s="1" t="str">
        <f ca="1">IF(Table2[[#This Row],[Usia]]&lt;25,"Gen Z",IF(Table2[[#This Row],[Usia]]&lt;40,"Gen Y",IF(Table2[[#This Row],[Usia]]&lt;56,"Gen X",IF(Table2[[#This Row],[Usia]]&gt;=56,"Baby Boomer"))))</f>
        <v>Gen Y</v>
      </c>
      <c r="L74" t="s">
        <v>33</v>
      </c>
      <c r="M74">
        <v>2.74</v>
      </c>
      <c r="N74">
        <v>4.47</v>
      </c>
      <c r="O74">
        <v>4.83</v>
      </c>
      <c r="P74">
        <v>2.13</v>
      </c>
      <c r="Q74">
        <v>4.3099999999999996</v>
      </c>
      <c r="R74">
        <v>4.08</v>
      </c>
      <c r="S74">
        <v>4.3499999999999996</v>
      </c>
      <c r="T74">
        <v>2.99</v>
      </c>
      <c r="U74">
        <v>4.8</v>
      </c>
      <c r="V74">
        <v>4.7</v>
      </c>
      <c r="W74">
        <v>2.75</v>
      </c>
      <c r="X74">
        <v>4.25</v>
      </c>
      <c r="Y74" s="3">
        <f>AVERAGE(Table2[[#This Row],[Jan]:[Dec]])</f>
        <v>3.8666666666666667</v>
      </c>
      <c r="Z74" t="str">
        <f>IF(Table2[[#This Row],[Average]]&lt;3,"Low",IF(Table2[[#This Row],[Average]]&lt;=4,"Med",IF(Table2[[#This Row],[Average]]&gt;4,"High")))</f>
        <v>Med</v>
      </c>
    </row>
    <row r="75" spans="1:26" x14ac:dyDescent="0.25">
      <c r="A75">
        <v>290796</v>
      </c>
      <c r="B75" t="s">
        <v>113</v>
      </c>
      <c r="C75" t="s">
        <v>23</v>
      </c>
      <c r="D75" t="s">
        <v>24</v>
      </c>
      <c r="E75" t="s">
        <v>164</v>
      </c>
      <c r="F75" t="s">
        <v>25</v>
      </c>
      <c r="G75" t="s">
        <v>26</v>
      </c>
      <c r="H75" s="1">
        <v>33313</v>
      </c>
      <c r="I75" s="1">
        <v>42979</v>
      </c>
      <c r="J75" s="2">
        <f ca="1">DATEDIF(Table2[[#This Row],[Tanggal Lahir]],NOW(),"Y")</f>
        <v>35</v>
      </c>
      <c r="K75" s="1" t="str">
        <f ca="1">IF(Table2[[#This Row],[Usia]]&lt;25,"Gen Z",IF(Table2[[#This Row],[Usia]]&lt;40,"Gen Y",IF(Table2[[#This Row],[Usia]]&lt;56,"Gen X",IF(Table2[[#This Row],[Usia]]&gt;=56,"Baby Boomer"))))</f>
        <v>Gen Y</v>
      </c>
      <c r="L75" t="s">
        <v>33</v>
      </c>
      <c r="M75">
        <v>3.62</v>
      </c>
      <c r="N75">
        <v>4.57</v>
      </c>
      <c r="O75">
        <v>3.85</v>
      </c>
      <c r="P75">
        <v>1.58</v>
      </c>
      <c r="Q75">
        <v>4.46</v>
      </c>
      <c r="R75">
        <v>3.61</v>
      </c>
      <c r="S75">
        <v>3.49</v>
      </c>
      <c r="T75">
        <v>2.7</v>
      </c>
      <c r="U75">
        <v>2.59</v>
      </c>
      <c r="V75">
        <v>3.16</v>
      </c>
      <c r="W75">
        <v>4.6900000000000004</v>
      </c>
      <c r="X75">
        <v>1.75</v>
      </c>
      <c r="Y75" s="3">
        <f>AVERAGE(Table2[[#This Row],[Jan]:[Dec]])</f>
        <v>3.339166666666666</v>
      </c>
      <c r="Z75" t="str">
        <f>IF(Table2[[#This Row],[Average]]&lt;3,"Low",IF(Table2[[#This Row],[Average]]&lt;=4,"Med",IF(Table2[[#This Row],[Average]]&gt;4,"High")))</f>
        <v>Med</v>
      </c>
    </row>
    <row r="76" spans="1:26" x14ac:dyDescent="0.25">
      <c r="A76">
        <v>293314</v>
      </c>
      <c r="B76" t="s">
        <v>114</v>
      </c>
      <c r="C76" t="s">
        <v>48</v>
      </c>
      <c r="D76" t="s">
        <v>115</v>
      </c>
      <c r="E76" t="s">
        <v>165</v>
      </c>
      <c r="F76" t="s">
        <v>25</v>
      </c>
      <c r="G76" t="s">
        <v>29</v>
      </c>
      <c r="H76" s="1">
        <v>29740</v>
      </c>
      <c r="I76" s="1">
        <v>37196</v>
      </c>
      <c r="J76" s="2">
        <f ca="1">DATEDIF(Table2[[#This Row],[Tanggal Lahir]],NOW(),"Y")</f>
        <v>45</v>
      </c>
      <c r="K76" s="1" t="str">
        <f ca="1">IF(Table2[[#This Row],[Usia]]&lt;25,"Gen Z",IF(Table2[[#This Row],[Usia]]&lt;40,"Gen Y",IF(Table2[[#This Row],[Usia]]&lt;56,"Gen X",IF(Table2[[#This Row],[Usia]]&gt;=56,"Baby Boomer"))))</f>
        <v>Gen X</v>
      </c>
      <c r="L76" t="s">
        <v>116</v>
      </c>
      <c r="M76">
        <v>1.66</v>
      </c>
      <c r="N76">
        <v>3.32</v>
      </c>
      <c r="O76">
        <v>3.34</v>
      </c>
      <c r="P76">
        <v>2.97</v>
      </c>
      <c r="Q76">
        <v>2.6</v>
      </c>
      <c r="R76">
        <v>2.37</v>
      </c>
      <c r="S76">
        <v>3.03</v>
      </c>
      <c r="T76">
        <v>3.68</v>
      </c>
      <c r="U76">
        <v>4.29</v>
      </c>
      <c r="V76">
        <v>4.18</v>
      </c>
      <c r="W76">
        <v>1.66</v>
      </c>
      <c r="X76">
        <v>3.6</v>
      </c>
      <c r="Y76" s="3">
        <f>AVERAGE(Table2[[#This Row],[Jan]:[Dec]])</f>
        <v>3.0583333333333336</v>
      </c>
      <c r="Z76" t="str">
        <f>IF(Table2[[#This Row],[Average]]&lt;3,"Low",IF(Table2[[#This Row],[Average]]&lt;=4,"Med",IF(Table2[[#This Row],[Average]]&gt;4,"High")))</f>
        <v>Med</v>
      </c>
    </row>
    <row r="77" spans="1:26" x14ac:dyDescent="0.25">
      <c r="A77">
        <v>294884</v>
      </c>
      <c r="B77" t="s">
        <v>117</v>
      </c>
      <c r="C77" t="s">
        <v>23</v>
      </c>
      <c r="D77" t="s">
        <v>24</v>
      </c>
      <c r="E77" t="s">
        <v>164</v>
      </c>
      <c r="F77" t="s">
        <v>25</v>
      </c>
      <c r="G77" t="s">
        <v>29</v>
      </c>
      <c r="H77" s="1">
        <v>34572</v>
      </c>
      <c r="I77" s="1">
        <v>43070</v>
      </c>
      <c r="J77" s="2">
        <f ca="1">DATEDIF(Table2[[#This Row],[Tanggal Lahir]],NOW(),"Y")</f>
        <v>31</v>
      </c>
      <c r="K77" s="1" t="str">
        <f ca="1">IF(Table2[[#This Row],[Usia]]&lt;25,"Gen Z",IF(Table2[[#This Row],[Usia]]&lt;40,"Gen Y",IF(Table2[[#This Row],[Usia]]&lt;56,"Gen X",IF(Table2[[#This Row],[Usia]]&gt;=56,"Baby Boomer"))))</f>
        <v>Gen Y</v>
      </c>
      <c r="L77" t="s">
        <v>104</v>
      </c>
      <c r="M77">
        <v>4.66</v>
      </c>
      <c r="N77">
        <v>1.45</v>
      </c>
      <c r="O77">
        <v>3.35</v>
      </c>
      <c r="P77">
        <v>3.03</v>
      </c>
      <c r="Q77">
        <v>1.81</v>
      </c>
      <c r="R77">
        <v>2.91</v>
      </c>
      <c r="S77">
        <v>4.43</v>
      </c>
      <c r="T77">
        <v>3.58</v>
      </c>
      <c r="U77">
        <v>3.42</v>
      </c>
      <c r="V77">
        <v>1.44</v>
      </c>
      <c r="W77">
        <v>2.64</v>
      </c>
      <c r="X77">
        <v>1.6</v>
      </c>
      <c r="Y77" s="3">
        <f>AVERAGE(Table2[[#This Row],[Jan]:[Dec]])</f>
        <v>2.86</v>
      </c>
      <c r="Z77" t="str">
        <f>IF(Table2[[#This Row],[Average]]&lt;3,"Low",IF(Table2[[#This Row],[Average]]&lt;=4,"Med",IF(Table2[[#This Row],[Average]]&gt;4,"High")))</f>
        <v>Low</v>
      </c>
    </row>
    <row r="78" spans="1:26" x14ac:dyDescent="0.25">
      <c r="A78">
        <v>295904</v>
      </c>
      <c r="B78" t="s">
        <v>118</v>
      </c>
      <c r="C78" t="s">
        <v>23</v>
      </c>
      <c r="D78" t="s">
        <v>24</v>
      </c>
      <c r="E78" t="s">
        <v>164</v>
      </c>
      <c r="F78" t="s">
        <v>25</v>
      </c>
      <c r="G78" t="s">
        <v>29</v>
      </c>
      <c r="H78" s="1">
        <v>33145</v>
      </c>
      <c r="I78" s="1">
        <v>42856</v>
      </c>
      <c r="J78" s="2">
        <f ca="1">DATEDIF(Table2[[#This Row],[Tanggal Lahir]],NOW(),"Y")</f>
        <v>35</v>
      </c>
      <c r="K78" s="1" t="str">
        <f ca="1">IF(Table2[[#This Row],[Usia]]&lt;25,"Gen Z",IF(Table2[[#This Row],[Usia]]&lt;40,"Gen Y",IF(Table2[[#This Row],[Usia]]&lt;56,"Gen X",IF(Table2[[#This Row],[Usia]]&gt;=56,"Baby Boomer"))))</f>
        <v>Gen Y</v>
      </c>
      <c r="L78" t="s">
        <v>33</v>
      </c>
      <c r="M78">
        <v>2.2599999999999998</v>
      </c>
      <c r="N78">
        <v>2.48</v>
      </c>
      <c r="O78">
        <v>1.81</v>
      </c>
      <c r="P78">
        <v>4.7699999999999996</v>
      </c>
      <c r="Q78">
        <v>2.69</v>
      </c>
      <c r="R78">
        <v>3.52</v>
      </c>
      <c r="S78">
        <v>4.7699999999999996</v>
      </c>
      <c r="T78">
        <v>2.94</v>
      </c>
      <c r="U78">
        <v>4.18</v>
      </c>
      <c r="V78">
        <v>2.0499999999999998</v>
      </c>
      <c r="W78">
        <v>2.4700000000000002</v>
      </c>
      <c r="X78">
        <v>2.64</v>
      </c>
      <c r="Y78" s="3">
        <f>AVERAGE(Table2[[#This Row],[Jan]:[Dec]])</f>
        <v>3.0483333333333338</v>
      </c>
      <c r="Z78" t="str">
        <f>IF(Table2[[#This Row],[Average]]&lt;3,"Low",IF(Table2[[#This Row],[Average]]&lt;=4,"Med",IF(Table2[[#This Row],[Average]]&gt;4,"High")))</f>
        <v>Med</v>
      </c>
    </row>
    <row r="79" spans="1:26" x14ac:dyDescent="0.25">
      <c r="A79">
        <v>296992</v>
      </c>
      <c r="B79" t="s">
        <v>119</v>
      </c>
      <c r="C79" t="s">
        <v>41</v>
      </c>
      <c r="D79" t="s">
        <v>38</v>
      </c>
      <c r="E79" t="s">
        <v>164</v>
      </c>
      <c r="F79" t="s">
        <v>25</v>
      </c>
      <c r="G79" t="s">
        <v>29</v>
      </c>
      <c r="H79" s="1">
        <v>29518</v>
      </c>
      <c r="I79" s="1">
        <v>38033</v>
      </c>
      <c r="J79" s="2">
        <f ca="1">DATEDIF(Table2[[#This Row],[Tanggal Lahir]],NOW(),"Y")</f>
        <v>45</v>
      </c>
      <c r="K79" s="1" t="str">
        <f ca="1">IF(Table2[[#This Row],[Usia]]&lt;25,"Gen Z",IF(Table2[[#This Row],[Usia]]&lt;40,"Gen Y",IF(Table2[[#This Row],[Usia]]&lt;56,"Gen X",IF(Table2[[#This Row],[Usia]]&gt;=56,"Baby Boomer"))))</f>
        <v>Gen X</v>
      </c>
      <c r="L79" t="s">
        <v>30</v>
      </c>
      <c r="M79">
        <v>4.4000000000000004</v>
      </c>
      <c r="N79">
        <v>2.2200000000000002</v>
      </c>
      <c r="O79">
        <v>1.96</v>
      </c>
      <c r="P79">
        <v>1.62</v>
      </c>
      <c r="Q79">
        <v>4.32</v>
      </c>
      <c r="R79">
        <v>2.08</v>
      </c>
      <c r="S79">
        <v>3.01</v>
      </c>
      <c r="T79">
        <v>4.1500000000000004</v>
      </c>
      <c r="U79">
        <v>4.9800000000000004</v>
      </c>
      <c r="V79">
        <v>1.56</v>
      </c>
      <c r="W79">
        <v>4.58</v>
      </c>
      <c r="X79">
        <v>1.1100000000000001</v>
      </c>
      <c r="Y79" s="3">
        <f>AVERAGE(Table2[[#This Row],[Jan]:[Dec]])</f>
        <v>2.9991666666666661</v>
      </c>
      <c r="Z79" t="str">
        <f>IF(Table2[[#This Row],[Average]]&lt;3,"Low",IF(Table2[[#This Row],[Average]]&lt;=4,"Med",IF(Table2[[#This Row],[Average]]&gt;4,"High")))</f>
        <v>Low</v>
      </c>
    </row>
    <row r="80" spans="1:26" x14ac:dyDescent="0.25">
      <c r="A80">
        <v>299723</v>
      </c>
      <c r="B80" t="s">
        <v>120</v>
      </c>
      <c r="C80" t="s">
        <v>48</v>
      </c>
      <c r="D80" t="s">
        <v>49</v>
      </c>
      <c r="E80" t="s">
        <v>164</v>
      </c>
      <c r="F80" t="s">
        <v>25</v>
      </c>
      <c r="G80" t="s">
        <v>26</v>
      </c>
      <c r="H80" s="1">
        <v>32231</v>
      </c>
      <c r="I80" s="1">
        <v>40399</v>
      </c>
      <c r="J80" s="2">
        <f ca="1">DATEDIF(Table2[[#This Row],[Tanggal Lahir]],NOW(),"Y")</f>
        <v>38</v>
      </c>
      <c r="K80" s="1" t="str">
        <f ca="1">IF(Table2[[#This Row],[Usia]]&lt;25,"Gen Z",IF(Table2[[#This Row],[Usia]]&lt;40,"Gen Y",IF(Table2[[#This Row],[Usia]]&lt;56,"Gen X",IF(Table2[[#This Row],[Usia]]&gt;=56,"Baby Boomer"))))</f>
        <v>Gen Y</v>
      </c>
      <c r="L80" t="s">
        <v>33</v>
      </c>
      <c r="M80">
        <v>2.71</v>
      </c>
      <c r="N80">
        <v>3.15</v>
      </c>
      <c r="O80">
        <v>3.44</v>
      </c>
      <c r="P80">
        <v>4.0199999999999996</v>
      </c>
      <c r="Q80">
        <v>1.93</v>
      </c>
      <c r="R80">
        <v>2.21</v>
      </c>
      <c r="S80">
        <v>2.09</v>
      </c>
      <c r="T80">
        <v>1.83</v>
      </c>
      <c r="U80">
        <v>1.07</v>
      </c>
      <c r="V80">
        <v>2.27</v>
      </c>
      <c r="W80">
        <v>4.59</v>
      </c>
      <c r="X80">
        <v>1.41</v>
      </c>
      <c r="Y80" s="3">
        <f>AVERAGE(Table2[[#This Row],[Jan]:[Dec]])</f>
        <v>2.5599999999999996</v>
      </c>
      <c r="Z80" t="str">
        <f>IF(Table2[[#This Row],[Average]]&lt;3,"Low",IF(Table2[[#This Row],[Average]]&lt;=4,"Med",IF(Table2[[#This Row],[Average]]&gt;4,"High")))</f>
        <v>Low</v>
      </c>
    </row>
    <row r="81" spans="1:26" x14ac:dyDescent="0.25">
      <c r="A81">
        <v>300436</v>
      </c>
      <c r="B81" t="s">
        <v>121</v>
      </c>
      <c r="C81" t="s">
        <v>23</v>
      </c>
      <c r="D81" t="s">
        <v>24</v>
      </c>
      <c r="E81" t="s">
        <v>164</v>
      </c>
      <c r="F81" t="s">
        <v>35</v>
      </c>
      <c r="G81" t="s">
        <v>26</v>
      </c>
      <c r="H81" s="1">
        <v>34741</v>
      </c>
      <c r="I81" s="1">
        <v>44228</v>
      </c>
      <c r="J81" s="2">
        <f ca="1">DATEDIF(Table2[[#This Row],[Tanggal Lahir]],NOW(),"Y")</f>
        <v>31</v>
      </c>
      <c r="K81" s="1" t="str">
        <f ca="1">IF(Table2[[#This Row],[Usia]]&lt;25,"Gen Z",IF(Table2[[#This Row],[Usia]]&lt;40,"Gen Y",IF(Table2[[#This Row],[Usia]]&lt;56,"Gen X",IF(Table2[[#This Row],[Usia]]&gt;=56,"Baby Boomer"))))</f>
        <v>Gen Y</v>
      </c>
      <c r="L81" t="s">
        <v>33</v>
      </c>
      <c r="M81">
        <v>4.6399999999999997</v>
      </c>
      <c r="N81">
        <v>3.12</v>
      </c>
      <c r="O81">
        <v>2.44</v>
      </c>
      <c r="P81">
        <v>3.16</v>
      </c>
      <c r="Q81">
        <v>4.1399999999999997</v>
      </c>
      <c r="R81">
        <v>3.22</v>
      </c>
      <c r="S81">
        <v>1.44</v>
      </c>
      <c r="T81">
        <v>4.6100000000000003</v>
      </c>
      <c r="U81">
        <v>1.5</v>
      </c>
      <c r="V81">
        <v>4.4000000000000004</v>
      </c>
      <c r="W81">
        <v>3.93</v>
      </c>
      <c r="X81">
        <v>4.83</v>
      </c>
      <c r="Y81" s="3">
        <f>AVERAGE(Table2[[#This Row],[Jan]:[Dec]])</f>
        <v>3.4525000000000001</v>
      </c>
      <c r="Z81" t="str">
        <f>IF(Table2[[#This Row],[Average]]&lt;3,"Low",IF(Table2[[#This Row],[Average]]&lt;=4,"Med",IF(Table2[[#This Row],[Average]]&gt;4,"High")))</f>
        <v>Med</v>
      </c>
    </row>
    <row r="82" spans="1:26" x14ac:dyDescent="0.25">
      <c r="A82">
        <v>306859</v>
      </c>
      <c r="B82" t="s">
        <v>122</v>
      </c>
      <c r="C82" t="s">
        <v>23</v>
      </c>
      <c r="D82" t="s">
        <v>24</v>
      </c>
      <c r="E82" t="s">
        <v>165</v>
      </c>
      <c r="F82" t="s">
        <v>25</v>
      </c>
      <c r="G82" t="s">
        <v>26</v>
      </c>
      <c r="H82" s="1">
        <v>30636</v>
      </c>
      <c r="I82" s="1">
        <v>41722</v>
      </c>
      <c r="J82" s="2">
        <f ca="1">DATEDIF(Table2[[#This Row],[Tanggal Lahir]],NOW(),"Y")</f>
        <v>42</v>
      </c>
      <c r="K82" s="1" t="str">
        <f ca="1">IF(Table2[[#This Row],[Usia]]&lt;25,"Gen Z",IF(Table2[[#This Row],[Usia]]&lt;40,"Gen Y",IF(Table2[[#This Row],[Usia]]&lt;56,"Gen X",IF(Table2[[#This Row],[Usia]]&gt;=56,"Baby Boomer"))))</f>
        <v>Gen X</v>
      </c>
      <c r="L82" t="s">
        <v>27</v>
      </c>
      <c r="M82">
        <v>2.38</v>
      </c>
      <c r="N82">
        <v>4</v>
      </c>
      <c r="O82">
        <v>2.62</v>
      </c>
      <c r="P82">
        <v>2.42</v>
      </c>
      <c r="Q82">
        <v>1.76</v>
      </c>
      <c r="R82">
        <v>4.18</v>
      </c>
      <c r="S82">
        <v>2.46</v>
      </c>
      <c r="T82">
        <v>4.26</v>
      </c>
      <c r="U82">
        <v>1.45</v>
      </c>
      <c r="V82">
        <v>2.76</v>
      </c>
      <c r="W82">
        <v>4.4400000000000004</v>
      </c>
      <c r="X82">
        <v>1.27</v>
      </c>
      <c r="Y82" s="3">
        <f>AVERAGE(Table2[[#This Row],[Jan]:[Dec]])</f>
        <v>2.8333333333333335</v>
      </c>
      <c r="Z82" t="str">
        <f>IF(Table2[[#This Row],[Average]]&lt;3,"Low",IF(Table2[[#This Row],[Average]]&lt;=4,"Med",IF(Table2[[#This Row],[Average]]&gt;4,"High")))</f>
        <v>Low</v>
      </c>
    </row>
    <row r="83" spans="1:26" x14ac:dyDescent="0.25">
      <c r="A83">
        <v>308659</v>
      </c>
      <c r="B83" t="s">
        <v>123</v>
      </c>
      <c r="C83" t="s">
        <v>23</v>
      </c>
      <c r="D83" t="s">
        <v>24</v>
      </c>
      <c r="E83" t="s">
        <v>164</v>
      </c>
      <c r="F83" t="s">
        <v>25</v>
      </c>
      <c r="G83" t="s">
        <v>26</v>
      </c>
      <c r="H83" s="1">
        <v>31099</v>
      </c>
      <c r="I83" s="1">
        <v>42795</v>
      </c>
      <c r="J83" s="2">
        <f ca="1">DATEDIF(Table2[[#This Row],[Tanggal Lahir]],NOW(),"Y")</f>
        <v>41</v>
      </c>
      <c r="K83" s="1" t="str">
        <f ca="1">IF(Table2[[#This Row],[Usia]]&lt;25,"Gen Z",IF(Table2[[#This Row],[Usia]]&lt;40,"Gen Y",IF(Table2[[#This Row],[Usia]]&lt;56,"Gen X",IF(Table2[[#This Row],[Usia]]&gt;=56,"Baby Boomer"))))</f>
        <v>Gen X</v>
      </c>
      <c r="L83" t="s">
        <v>50</v>
      </c>
      <c r="M83">
        <v>3.44</v>
      </c>
      <c r="N83">
        <v>3.8</v>
      </c>
      <c r="O83">
        <v>3.66</v>
      </c>
      <c r="P83">
        <v>3.67</v>
      </c>
      <c r="Q83">
        <v>4.67</v>
      </c>
      <c r="R83">
        <v>2.69</v>
      </c>
      <c r="S83">
        <v>2.36</v>
      </c>
      <c r="T83">
        <v>1.89</v>
      </c>
      <c r="U83">
        <v>4.7300000000000004</v>
      </c>
      <c r="V83">
        <v>4.04</v>
      </c>
      <c r="W83">
        <v>4.17</v>
      </c>
      <c r="X83">
        <v>4.7699999999999996</v>
      </c>
      <c r="Y83" s="3">
        <f>AVERAGE(Table2[[#This Row],[Jan]:[Dec]])</f>
        <v>3.6575000000000002</v>
      </c>
      <c r="Z83" t="str">
        <f>IF(Table2[[#This Row],[Average]]&lt;3,"Low",IF(Table2[[#This Row],[Average]]&lt;=4,"Med",IF(Table2[[#This Row],[Average]]&gt;4,"High")))</f>
        <v>Med</v>
      </c>
    </row>
    <row r="84" spans="1:26" x14ac:dyDescent="0.25">
      <c r="A84">
        <v>310044</v>
      </c>
      <c r="B84" t="s">
        <v>124</v>
      </c>
      <c r="C84" t="s">
        <v>32</v>
      </c>
      <c r="D84" t="s">
        <v>24</v>
      </c>
      <c r="E84" t="s">
        <v>165</v>
      </c>
      <c r="F84" t="s">
        <v>35</v>
      </c>
      <c r="G84" t="s">
        <v>29</v>
      </c>
      <c r="H84" s="1">
        <v>34496</v>
      </c>
      <c r="I84" s="1">
        <v>44743</v>
      </c>
      <c r="J84" s="2">
        <f ca="1">DATEDIF(Table2[[#This Row],[Tanggal Lahir]],NOW(),"Y")</f>
        <v>32</v>
      </c>
      <c r="K84" s="1" t="str">
        <f ca="1">IF(Table2[[#This Row],[Usia]]&lt;25,"Gen Z",IF(Table2[[#This Row],[Usia]]&lt;40,"Gen Y",IF(Table2[[#This Row],[Usia]]&lt;56,"Gen X",IF(Table2[[#This Row],[Usia]]&gt;=56,"Baby Boomer"))))</f>
        <v>Gen Y</v>
      </c>
      <c r="L84" t="s">
        <v>33</v>
      </c>
      <c r="M84">
        <v>2.21</v>
      </c>
      <c r="N84">
        <v>4.13</v>
      </c>
      <c r="O84">
        <v>4.59</v>
      </c>
      <c r="P84">
        <v>2.36</v>
      </c>
      <c r="Q84">
        <v>4.95</v>
      </c>
      <c r="R84">
        <v>3.46</v>
      </c>
      <c r="S84">
        <v>2.02</v>
      </c>
      <c r="T84">
        <v>2.67</v>
      </c>
      <c r="U84">
        <v>1.61</v>
      </c>
      <c r="V84">
        <v>1.92</v>
      </c>
      <c r="W84">
        <v>3.9</v>
      </c>
      <c r="X84">
        <v>4.47</v>
      </c>
      <c r="Y84" s="3">
        <f>AVERAGE(Table2[[#This Row],[Jan]:[Dec]])</f>
        <v>3.1908333333333334</v>
      </c>
      <c r="Z84" t="str">
        <f>IF(Table2[[#This Row],[Average]]&lt;3,"Low",IF(Table2[[#This Row],[Average]]&lt;=4,"Med",IF(Table2[[#This Row],[Average]]&gt;4,"High")))</f>
        <v>Med</v>
      </c>
    </row>
    <row r="85" spans="1:26" x14ac:dyDescent="0.25">
      <c r="A85">
        <v>311002</v>
      </c>
      <c r="B85" t="s">
        <v>125</v>
      </c>
      <c r="C85" t="s">
        <v>23</v>
      </c>
      <c r="D85" t="s">
        <v>24</v>
      </c>
      <c r="E85" t="s">
        <v>164</v>
      </c>
      <c r="F85" t="s">
        <v>35</v>
      </c>
      <c r="G85" t="s">
        <v>26</v>
      </c>
      <c r="H85" s="1">
        <v>37368</v>
      </c>
      <c r="I85" s="1">
        <v>45108</v>
      </c>
      <c r="J85" s="2">
        <f ca="1">DATEDIF(Table2[[#This Row],[Tanggal Lahir]],NOW(),"Y")</f>
        <v>24</v>
      </c>
      <c r="K85" s="1" t="str">
        <f ca="1">IF(Table2[[#This Row],[Usia]]&lt;25,"Gen Z",IF(Table2[[#This Row],[Usia]]&lt;40,"Gen Y",IF(Table2[[#This Row],[Usia]]&lt;56,"Gen X",IF(Table2[[#This Row],[Usia]]&gt;=56,"Baby Boomer"))))</f>
        <v>Gen Z</v>
      </c>
      <c r="L85" t="s">
        <v>50</v>
      </c>
      <c r="S85">
        <v>4.5199999999999996</v>
      </c>
      <c r="T85">
        <v>4.72</v>
      </c>
      <c r="U85">
        <v>4.76</v>
      </c>
      <c r="V85">
        <v>2.1</v>
      </c>
      <c r="W85">
        <v>4.91</v>
      </c>
      <c r="X85">
        <v>3.95</v>
      </c>
      <c r="Y85" s="3">
        <f>AVERAGE(Table2[[#This Row],[Jan]:[Dec]])</f>
        <v>4.1599999999999993</v>
      </c>
      <c r="Z85" t="str">
        <f>IF(Table2[[#This Row],[Average]]&lt;3,"Low",IF(Table2[[#This Row],[Average]]&lt;=4,"Med",IF(Table2[[#This Row],[Average]]&gt;4,"High")))</f>
        <v>High</v>
      </c>
    </row>
    <row r="86" spans="1:26" x14ac:dyDescent="0.25">
      <c r="A86">
        <v>317929</v>
      </c>
      <c r="B86" t="s">
        <v>126</v>
      </c>
      <c r="C86" t="s">
        <v>41</v>
      </c>
      <c r="D86" t="s">
        <v>24</v>
      </c>
      <c r="E86" t="s">
        <v>164</v>
      </c>
      <c r="F86" t="s">
        <v>25</v>
      </c>
      <c r="G86" t="s">
        <v>26</v>
      </c>
      <c r="H86" s="1">
        <v>33889</v>
      </c>
      <c r="I86" s="1">
        <v>42736</v>
      </c>
      <c r="J86" s="2">
        <f ca="1">DATEDIF(Table2[[#This Row],[Tanggal Lahir]],NOW(),"Y")</f>
        <v>33</v>
      </c>
      <c r="K86" s="1" t="str">
        <f ca="1">IF(Table2[[#This Row],[Usia]]&lt;25,"Gen Z",IF(Table2[[#This Row],[Usia]]&lt;40,"Gen Y",IF(Table2[[#This Row],[Usia]]&lt;56,"Gen X",IF(Table2[[#This Row],[Usia]]&gt;=56,"Baby Boomer"))))</f>
        <v>Gen Y</v>
      </c>
      <c r="L86" t="s">
        <v>30</v>
      </c>
      <c r="M86">
        <v>3.08</v>
      </c>
      <c r="N86">
        <v>2.4500000000000002</v>
      </c>
      <c r="O86">
        <v>3.3</v>
      </c>
      <c r="P86">
        <v>2.2799999999999998</v>
      </c>
      <c r="Q86">
        <v>4.72</v>
      </c>
      <c r="R86">
        <v>1.59</v>
      </c>
      <c r="S86">
        <v>3.29</v>
      </c>
      <c r="T86">
        <v>2.67</v>
      </c>
      <c r="U86">
        <v>4.55</v>
      </c>
      <c r="V86">
        <v>4.41</v>
      </c>
      <c r="W86">
        <v>4.9400000000000004</v>
      </c>
      <c r="X86">
        <v>3.58</v>
      </c>
      <c r="Y86" s="3">
        <f>AVERAGE(Table2[[#This Row],[Jan]:[Dec]])</f>
        <v>3.4049999999999994</v>
      </c>
      <c r="Z86" t="str">
        <f>IF(Table2[[#This Row],[Average]]&lt;3,"Low",IF(Table2[[#This Row],[Average]]&lt;=4,"Med",IF(Table2[[#This Row],[Average]]&gt;4,"High")))</f>
        <v>Med</v>
      </c>
    </row>
    <row r="87" spans="1:26" x14ac:dyDescent="0.25">
      <c r="A87">
        <v>320993</v>
      </c>
      <c r="B87" t="s">
        <v>127</v>
      </c>
      <c r="C87" t="s">
        <v>23</v>
      </c>
      <c r="D87" t="s">
        <v>24</v>
      </c>
      <c r="E87" t="s">
        <v>165</v>
      </c>
      <c r="F87" t="s">
        <v>25</v>
      </c>
      <c r="G87" t="s">
        <v>29</v>
      </c>
      <c r="H87" s="1">
        <v>34257</v>
      </c>
      <c r="I87" s="1">
        <v>42887</v>
      </c>
      <c r="J87" s="2">
        <f ca="1">DATEDIF(Table2[[#This Row],[Tanggal Lahir]],NOW(),"Y")</f>
        <v>32</v>
      </c>
      <c r="K87" s="1" t="str">
        <f ca="1">IF(Table2[[#This Row],[Usia]]&lt;25,"Gen Z",IF(Table2[[#This Row],[Usia]]&lt;40,"Gen Y",IF(Table2[[#This Row],[Usia]]&lt;56,"Gen X",IF(Table2[[#This Row],[Usia]]&gt;=56,"Baby Boomer"))))</f>
        <v>Gen Y</v>
      </c>
      <c r="L87" t="s">
        <v>33</v>
      </c>
      <c r="M87">
        <v>4.7699999999999996</v>
      </c>
      <c r="N87">
        <v>2.4700000000000002</v>
      </c>
      <c r="O87">
        <v>3.6</v>
      </c>
      <c r="P87">
        <v>2.72</v>
      </c>
      <c r="Q87">
        <v>3.6</v>
      </c>
      <c r="R87">
        <v>4.1100000000000003</v>
      </c>
      <c r="S87">
        <v>4.21</v>
      </c>
      <c r="T87">
        <v>3.35</v>
      </c>
      <c r="U87">
        <v>3.61</v>
      </c>
      <c r="V87">
        <v>2.68</v>
      </c>
      <c r="W87">
        <v>1.57</v>
      </c>
      <c r="X87">
        <v>3.9</v>
      </c>
      <c r="Y87" s="3">
        <f>AVERAGE(Table2[[#This Row],[Jan]:[Dec]])</f>
        <v>3.3825000000000003</v>
      </c>
      <c r="Z87" t="str">
        <f>IF(Table2[[#This Row],[Average]]&lt;3,"Low",IF(Table2[[#This Row],[Average]]&lt;=4,"Med",IF(Table2[[#This Row],[Average]]&gt;4,"High")))</f>
        <v>Med</v>
      </c>
    </row>
    <row r="88" spans="1:26" x14ac:dyDescent="0.25">
      <c r="A88">
        <v>324416</v>
      </c>
      <c r="B88" t="s">
        <v>128</v>
      </c>
      <c r="C88" t="s">
        <v>23</v>
      </c>
      <c r="D88" t="s">
        <v>24</v>
      </c>
      <c r="E88" t="s">
        <v>164</v>
      </c>
      <c r="F88" t="s">
        <v>25</v>
      </c>
      <c r="G88" t="s">
        <v>26</v>
      </c>
      <c r="H88" s="1">
        <v>33349</v>
      </c>
      <c r="I88" s="1">
        <v>41478</v>
      </c>
      <c r="J88" s="2">
        <f ca="1">DATEDIF(Table2[[#This Row],[Tanggal Lahir]],NOW(),"Y")</f>
        <v>35</v>
      </c>
      <c r="K88" s="1" t="str">
        <f ca="1">IF(Table2[[#This Row],[Usia]]&lt;25,"Gen Z",IF(Table2[[#This Row],[Usia]]&lt;40,"Gen Y",IF(Table2[[#This Row],[Usia]]&lt;56,"Gen X",IF(Table2[[#This Row],[Usia]]&gt;=56,"Baby Boomer"))))</f>
        <v>Gen Y</v>
      </c>
      <c r="L88" t="s">
        <v>30</v>
      </c>
      <c r="M88">
        <v>4.99</v>
      </c>
      <c r="N88">
        <v>2.76</v>
      </c>
      <c r="O88">
        <v>3.96</v>
      </c>
      <c r="P88">
        <v>3.3</v>
      </c>
      <c r="Q88">
        <v>2.21</v>
      </c>
      <c r="R88">
        <v>4.8499999999999996</v>
      </c>
      <c r="S88">
        <v>2.23</v>
      </c>
      <c r="T88">
        <v>3.5</v>
      </c>
      <c r="U88">
        <v>4.83</v>
      </c>
      <c r="V88">
        <v>1.5</v>
      </c>
      <c r="W88">
        <v>3.31</v>
      </c>
      <c r="X88">
        <v>4.74</v>
      </c>
      <c r="Y88" s="3">
        <f>AVERAGE(Table2[[#This Row],[Jan]:[Dec]])</f>
        <v>3.5150000000000006</v>
      </c>
      <c r="Z88" t="str">
        <f>IF(Table2[[#This Row],[Average]]&lt;3,"Low",IF(Table2[[#This Row],[Average]]&lt;=4,"Med",IF(Table2[[#This Row],[Average]]&gt;4,"High")))</f>
        <v>Med</v>
      </c>
    </row>
    <row r="89" spans="1:26" x14ac:dyDescent="0.25">
      <c r="A89">
        <v>334019</v>
      </c>
      <c r="B89" t="s">
        <v>129</v>
      </c>
      <c r="C89" t="s">
        <v>23</v>
      </c>
      <c r="D89" t="s">
        <v>24</v>
      </c>
      <c r="E89" t="s">
        <v>165</v>
      </c>
      <c r="F89" t="s">
        <v>35</v>
      </c>
      <c r="G89" t="s">
        <v>26</v>
      </c>
      <c r="H89" s="1">
        <v>35074</v>
      </c>
      <c r="I89" s="1">
        <v>45078</v>
      </c>
      <c r="J89" s="2">
        <f ca="1">DATEDIF(Table2[[#This Row],[Tanggal Lahir]],NOW(),"Y")</f>
        <v>30</v>
      </c>
      <c r="K89" s="1" t="str">
        <f ca="1">IF(Table2[[#This Row],[Usia]]&lt;25,"Gen Z",IF(Table2[[#This Row],[Usia]]&lt;40,"Gen Y",IF(Table2[[#This Row],[Usia]]&lt;56,"Gen X",IF(Table2[[#This Row],[Usia]]&gt;=56,"Baby Boomer"))))</f>
        <v>Gen Y</v>
      </c>
      <c r="L89" t="s">
        <v>33</v>
      </c>
      <c r="R89">
        <v>4.7699999999999996</v>
      </c>
      <c r="S89">
        <v>1.18</v>
      </c>
      <c r="T89">
        <v>2.56</v>
      </c>
      <c r="U89">
        <v>2.4900000000000002</v>
      </c>
      <c r="V89">
        <v>4.38</v>
      </c>
      <c r="W89">
        <v>4.53</v>
      </c>
      <c r="X89">
        <v>1.89</v>
      </c>
      <c r="Y89" s="3">
        <f>AVERAGE(Table2[[#This Row],[Jan]:[Dec]])</f>
        <v>3.1142857142857143</v>
      </c>
      <c r="Z89" t="str">
        <f>IF(Table2[[#This Row],[Average]]&lt;3,"Low",IF(Table2[[#This Row],[Average]]&lt;=4,"Med",IF(Table2[[#This Row],[Average]]&gt;4,"High")))</f>
        <v>Med</v>
      </c>
    </row>
    <row r="90" spans="1:26" x14ac:dyDescent="0.25">
      <c r="A90">
        <v>335361</v>
      </c>
      <c r="B90" t="s">
        <v>130</v>
      </c>
      <c r="C90" t="s">
        <v>23</v>
      </c>
      <c r="D90" t="s">
        <v>24</v>
      </c>
      <c r="E90" t="s">
        <v>164</v>
      </c>
      <c r="F90" t="s">
        <v>35</v>
      </c>
      <c r="G90" t="s">
        <v>26</v>
      </c>
      <c r="H90" s="1">
        <v>33462</v>
      </c>
      <c r="I90" s="1">
        <v>43891</v>
      </c>
      <c r="J90" s="2">
        <f ca="1">DATEDIF(Table2[[#This Row],[Tanggal Lahir]],NOW(),"Y")</f>
        <v>34</v>
      </c>
      <c r="K90" s="1" t="str">
        <f ca="1">IF(Table2[[#This Row],[Usia]]&lt;25,"Gen Z",IF(Table2[[#This Row],[Usia]]&lt;40,"Gen Y",IF(Table2[[#This Row],[Usia]]&lt;56,"Gen X",IF(Table2[[#This Row],[Usia]]&gt;=56,"Baby Boomer"))))</f>
        <v>Gen Y</v>
      </c>
      <c r="L90" t="s">
        <v>33</v>
      </c>
      <c r="M90">
        <v>4.63</v>
      </c>
      <c r="N90">
        <v>4.8600000000000003</v>
      </c>
      <c r="O90">
        <v>1.84</v>
      </c>
      <c r="P90">
        <v>1.8</v>
      </c>
      <c r="Q90">
        <v>1.53</v>
      </c>
      <c r="R90">
        <v>1.58</v>
      </c>
      <c r="S90">
        <v>4.55</v>
      </c>
      <c r="T90">
        <v>3.24</v>
      </c>
      <c r="U90">
        <v>3.07</v>
      </c>
      <c r="V90">
        <v>1.55</v>
      </c>
      <c r="W90">
        <v>4.72</v>
      </c>
      <c r="X90">
        <v>1.76</v>
      </c>
      <c r="Y90" s="3">
        <f>AVERAGE(Table2[[#This Row],[Jan]:[Dec]])</f>
        <v>2.9275000000000002</v>
      </c>
      <c r="Z90" t="str">
        <f>IF(Table2[[#This Row],[Average]]&lt;3,"Low",IF(Table2[[#This Row],[Average]]&lt;=4,"Med",IF(Table2[[#This Row],[Average]]&gt;4,"High")))</f>
        <v>Low</v>
      </c>
    </row>
    <row r="91" spans="1:26" x14ac:dyDescent="0.25">
      <c r="A91">
        <v>336911</v>
      </c>
      <c r="B91" t="s">
        <v>131</v>
      </c>
      <c r="C91" t="s">
        <v>23</v>
      </c>
      <c r="D91" t="s">
        <v>24</v>
      </c>
      <c r="E91" t="s">
        <v>164</v>
      </c>
      <c r="F91" t="s">
        <v>35</v>
      </c>
      <c r="G91" t="s">
        <v>26</v>
      </c>
      <c r="H91" s="1">
        <v>33548</v>
      </c>
      <c r="I91" s="1">
        <v>44470</v>
      </c>
      <c r="J91" s="2">
        <f ca="1">DATEDIF(Table2[[#This Row],[Tanggal Lahir]],NOW(),"Y")</f>
        <v>34</v>
      </c>
      <c r="K91" s="1" t="str">
        <f ca="1">IF(Table2[[#This Row],[Usia]]&lt;25,"Gen Z",IF(Table2[[#This Row],[Usia]]&lt;40,"Gen Y",IF(Table2[[#This Row],[Usia]]&lt;56,"Gen X",IF(Table2[[#This Row],[Usia]]&gt;=56,"Baby Boomer"))))</f>
        <v>Gen Y</v>
      </c>
      <c r="L91" t="s">
        <v>33</v>
      </c>
      <c r="M91">
        <v>4.72</v>
      </c>
      <c r="N91">
        <v>3.73</v>
      </c>
      <c r="O91">
        <v>3.98</v>
      </c>
      <c r="P91">
        <v>1.93</v>
      </c>
      <c r="Q91">
        <v>1.31</v>
      </c>
      <c r="R91">
        <v>1.27</v>
      </c>
      <c r="S91">
        <v>4.82</v>
      </c>
      <c r="T91">
        <v>1.35</v>
      </c>
      <c r="U91">
        <v>1.42</v>
      </c>
      <c r="V91">
        <v>4.43</v>
      </c>
      <c r="W91">
        <v>3.94</v>
      </c>
      <c r="X91">
        <v>3.52</v>
      </c>
      <c r="Y91" s="3">
        <f>AVERAGE(Table2[[#This Row],[Jan]:[Dec]])</f>
        <v>3.0350000000000001</v>
      </c>
      <c r="Z91" t="str">
        <f>IF(Table2[[#This Row],[Average]]&lt;3,"Low",IF(Table2[[#This Row],[Average]]&lt;=4,"Med",IF(Table2[[#This Row],[Average]]&gt;4,"High")))</f>
        <v>Med</v>
      </c>
    </row>
    <row r="92" spans="1:26" x14ac:dyDescent="0.25">
      <c r="A92">
        <v>336953</v>
      </c>
      <c r="B92" t="s">
        <v>132</v>
      </c>
      <c r="C92" t="s">
        <v>48</v>
      </c>
      <c r="D92" t="s">
        <v>49</v>
      </c>
      <c r="E92" t="s">
        <v>165</v>
      </c>
      <c r="F92" t="s">
        <v>25</v>
      </c>
      <c r="G92" t="s">
        <v>26</v>
      </c>
      <c r="H92" s="1">
        <v>29810</v>
      </c>
      <c r="I92" s="1">
        <v>38596</v>
      </c>
      <c r="J92" s="2">
        <f ca="1">DATEDIF(Table2[[#This Row],[Tanggal Lahir]],NOW(),"Y")</f>
        <v>44</v>
      </c>
      <c r="K92" s="1" t="str">
        <f ca="1">IF(Table2[[#This Row],[Usia]]&lt;25,"Gen Z",IF(Table2[[#This Row],[Usia]]&lt;40,"Gen Y",IF(Table2[[#This Row],[Usia]]&lt;56,"Gen X",IF(Table2[[#This Row],[Usia]]&gt;=56,"Baby Boomer"))))</f>
        <v>Gen X</v>
      </c>
      <c r="L92" t="s">
        <v>33</v>
      </c>
      <c r="M92">
        <v>4.9000000000000004</v>
      </c>
      <c r="N92">
        <v>1.36</v>
      </c>
      <c r="O92">
        <v>4.4400000000000004</v>
      </c>
      <c r="P92">
        <v>4.54</v>
      </c>
      <c r="Q92">
        <v>2.69</v>
      </c>
      <c r="R92">
        <v>4.08</v>
      </c>
      <c r="S92">
        <v>1.31</v>
      </c>
      <c r="T92">
        <v>1.81</v>
      </c>
      <c r="U92">
        <v>3.18</v>
      </c>
      <c r="V92">
        <v>2.33</v>
      </c>
      <c r="W92">
        <v>1.24</v>
      </c>
      <c r="X92">
        <v>4.88</v>
      </c>
      <c r="Y92" s="3">
        <f>AVERAGE(Table2[[#This Row],[Jan]:[Dec]])</f>
        <v>3.063333333333333</v>
      </c>
      <c r="Z92" t="str">
        <f>IF(Table2[[#This Row],[Average]]&lt;3,"Low",IF(Table2[[#This Row],[Average]]&lt;=4,"Med",IF(Table2[[#This Row],[Average]]&gt;4,"High")))</f>
        <v>Med</v>
      </c>
    </row>
    <row r="93" spans="1:26" x14ac:dyDescent="0.25">
      <c r="A93">
        <v>345274</v>
      </c>
      <c r="B93" t="s">
        <v>133</v>
      </c>
      <c r="C93" t="s">
        <v>23</v>
      </c>
      <c r="D93" t="s">
        <v>24</v>
      </c>
      <c r="E93" t="s">
        <v>165</v>
      </c>
      <c r="F93" t="s">
        <v>25</v>
      </c>
      <c r="G93" t="s">
        <v>29</v>
      </c>
      <c r="H93" s="1">
        <v>34259</v>
      </c>
      <c r="I93" s="1">
        <v>42887</v>
      </c>
      <c r="J93" s="2">
        <f ca="1">DATEDIF(Table2[[#This Row],[Tanggal Lahir]],NOW(),"Y")</f>
        <v>32</v>
      </c>
      <c r="K93" s="1" t="str">
        <f ca="1">IF(Table2[[#This Row],[Usia]]&lt;25,"Gen Z",IF(Table2[[#This Row],[Usia]]&lt;40,"Gen Y",IF(Table2[[#This Row],[Usia]]&lt;56,"Gen X",IF(Table2[[#This Row],[Usia]]&gt;=56,"Baby Boomer"))))</f>
        <v>Gen Y</v>
      </c>
      <c r="L93" t="s">
        <v>33</v>
      </c>
      <c r="M93">
        <v>4.34</v>
      </c>
      <c r="N93">
        <v>3.83</v>
      </c>
      <c r="O93">
        <v>3.04</v>
      </c>
      <c r="P93">
        <v>4.6100000000000003</v>
      </c>
      <c r="Q93">
        <v>1.38</v>
      </c>
      <c r="R93">
        <v>1.97</v>
      </c>
      <c r="S93">
        <v>3.9</v>
      </c>
      <c r="T93">
        <v>2.8</v>
      </c>
      <c r="U93">
        <v>1.38</v>
      </c>
      <c r="V93">
        <v>4.1399999999999997</v>
      </c>
      <c r="W93">
        <v>1.31</v>
      </c>
      <c r="X93">
        <v>3.32</v>
      </c>
      <c r="Y93" s="3">
        <f>AVERAGE(Table2[[#This Row],[Jan]:[Dec]])</f>
        <v>3.0016666666666665</v>
      </c>
      <c r="Z93" t="str">
        <f>IF(Table2[[#This Row],[Average]]&lt;3,"Low",IF(Table2[[#This Row],[Average]]&lt;=4,"Med",IF(Table2[[#This Row],[Average]]&gt;4,"High")))</f>
        <v>Med</v>
      </c>
    </row>
    <row r="94" spans="1:26" x14ac:dyDescent="0.25">
      <c r="A94">
        <v>345929</v>
      </c>
      <c r="B94" t="s">
        <v>134</v>
      </c>
      <c r="C94" t="s">
        <v>23</v>
      </c>
      <c r="D94" t="s">
        <v>24</v>
      </c>
      <c r="E94" t="s">
        <v>165</v>
      </c>
      <c r="F94" t="s">
        <v>25</v>
      </c>
      <c r="G94" t="s">
        <v>26</v>
      </c>
      <c r="H94" s="1">
        <v>29394</v>
      </c>
      <c r="I94" s="1">
        <v>39479</v>
      </c>
      <c r="J94" s="2">
        <f ca="1">DATEDIF(Table2[[#This Row],[Tanggal Lahir]],NOW(),"Y")</f>
        <v>46</v>
      </c>
      <c r="K94" s="1" t="str">
        <f ca="1">IF(Table2[[#This Row],[Usia]]&lt;25,"Gen Z",IF(Table2[[#This Row],[Usia]]&lt;40,"Gen Y",IF(Table2[[#This Row],[Usia]]&lt;56,"Gen X",IF(Table2[[#This Row],[Usia]]&gt;=56,"Baby Boomer"))))</f>
        <v>Gen X</v>
      </c>
      <c r="L94" t="s">
        <v>33</v>
      </c>
      <c r="M94">
        <v>1.07</v>
      </c>
      <c r="N94">
        <v>2</v>
      </c>
      <c r="O94">
        <v>1.05</v>
      </c>
      <c r="P94">
        <v>3.97</v>
      </c>
      <c r="Q94">
        <v>3.68</v>
      </c>
      <c r="R94">
        <v>2.36</v>
      </c>
      <c r="S94">
        <v>4.38</v>
      </c>
      <c r="T94">
        <v>4.59</v>
      </c>
      <c r="U94">
        <v>2.8</v>
      </c>
      <c r="V94">
        <v>1.7</v>
      </c>
      <c r="W94">
        <v>1.39</v>
      </c>
      <c r="X94">
        <v>3.91</v>
      </c>
      <c r="Y94" s="3">
        <f>AVERAGE(Table2[[#This Row],[Jan]:[Dec]])</f>
        <v>2.7416666666666667</v>
      </c>
      <c r="Z94" t="str">
        <f>IF(Table2[[#This Row],[Average]]&lt;3,"Low",IF(Table2[[#This Row],[Average]]&lt;=4,"Med",IF(Table2[[#This Row],[Average]]&gt;4,"High")))</f>
        <v>Low</v>
      </c>
    </row>
    <row r="95" spans="1:26" x14ac:dyDescent="0.25">
      <c r="A95">
        <v>348338</v>
      </c>
      <c r="B95" t="s">
        <v>135</v>
      </c>
      <c r="C95" t="s">
        <v>23</v>
      </c>
      <c r="D95" t="s">
        <v>24</v>
      </c>
      <c r="E95" t="s">
        <v>164</v>
      </c>
      <c r="F95" t="s">
        <v>25</v>
      </c>
      <c r="G95" t="s">
        <v>26</v>
      </c>
      <c r="H95" s="1">
        <v>32577</v>
      </c>
      <c r="I95" s="1">
        <v>40603</v>
      </c>
      <c r="J95" s="2">
        <f ca="1">DATEDIF(Table2[[#This Row],[Tanggal Lahir]],NOW(),"Y")</f>
        <v>37</v>
      </c>
      <c r="K95" s="1" t="str">
        <f ca="1">IF(Table2[[#This Row],[Usia]]&lt;25,"Gen Z",IF(Table2[[#This Row],[Usia]]&lt;40,"Gen Y",IF(Table2[[#This Row],[Usia]]&lt;56,"Gen X",IF(Table2[[#This Row],[Usia]]&gt;=56,"Baby Boomer"))))</f>
        <v>Gen Y</v>
      </c>
      <c r="L95" t="s">
        <v>33</v>
      </c>
      <c r="M95">
        <v>2.16</v>
      </c>
      <c r="N95">
        <v>3.08</v>
      </c>
      <c r="O95">
        <v>4.01</v>
      </c>
      <c r="P95">
        <v>1.46</v>
      </c>
      <c r="Q95">
        <v>1.84</v>
      </c>
      <c r="R95">
        <v>4.6500000000000004</v>
      </c>
      <c r="S95">
        <v>3.69</v>
      </c>
      <c r="T95">
        <v>1.22</v>
      </c>
      <c r="U95">
        <v>4.57</v>
      </c>
      <c r="V95">
        <v>2.5099999999999998</v>
      </c>
      <c r="W95">
        <v>3.22</v>
      </c>
      <c r="X95">
        <v>4.53</v>
      </c>
      <c r="Y95" s="3">
        <f>AVERAGE(Table2[[#This Row],[Jan]:[Dec]])</f>
        <v>3.0783333333333336</v>
      </c>
      <c r="Z95" t="str">
        <f>IF(Table2[[#This Row],[Average]]&lt;3,"Low",IF(Table2[[#This Row],[Average]]&lt;=4,"Med",IF(Table2[[#This Row],[Average]]&gt;4,"High")))</f>
        <v>Med</v>
      </c>
    </row>
    <row r="96" spans="1:26" x14ac:dyDescent="0.25">
      <c r="A96">
        <v>353044</v>
      </c>
      <c r="B96" t="s">
        <v>136</v>
      </c>
      <c r="C96" t="s">
        <v>23</v>
      </c>
      <c r="D96" t="s">
        <v>38</v>
      </c>
      <c r="E96" t="s">
        <v>165</v>
      </c>
      <c r="F96" t="s">
        <v>25</v>
      </c>
      <c r="G96" t="s">
        <v>26</v>
      </c>
      <c r="H96" s="1">
        <v>30925</v>
      </c>
      <c r="I96" s="1">
        <v>41883</v>
      </c>
      <c r="J96" s="2">
        <f ca="1">DATEDIF(Table2[[#This Row],[Tanggal Lahir]],NOW(),"Y")</f>
        <v>41</v>
      </c>
      <c r="K96" s="1" t="str">
        <f ca="1">IF(Table2[[#This Row],[Usia]]&lt;25,"Gen Z",IF(Table2[[#This Row],[Usia]]&lt;40,"Gen Y",IF(Table2[[#This Row],[Usia]]&lt;56,"Gen X",IF(Table2[[#This Row],[Usia]]&gt;=56,"Baby Boomer"))))</f>
        <v>Gen X</v>
      </c>
      <c r="L96" t="s">
        <v>33</v>
      </c>
      <c r="M96">
        <v>4.5999999999999996</v>
      </c>
      <c r="N96">
        <v>4.0599999999999996</v>
      </c>
      <c r="O96">
        <v>1.61</v>
      </c>
      <c r="P96">
        <v>1.3</v>
      </c>
      <c r="Q96">
        <v>1.92</v>
      </c>
      <c r="R96">
        <v>4.03</v>
      </c>
      <c r="S96">
        <v>2.44</v>
      </c>
      <c r="T96">
        <v>3.65</v>
      </c>
      <c r="U96">
        <v>4.58</v>
      </c>
      <c r="V96">
        <v>1.99</v>
      </c>
      <c r="W96">
        <v>1.54</v>
      </c>
      <c r="X96">
        <v>3.38</v>
      </c>
      <c r="Y96" s="3">
        <f>AVERAGE(Table2[[#This Row],[Jan]:[Dec]])</f>
        <v>2.9249999999999994</v>
      </c>
      <c r="Z96" t="str">
        <f>IF(Table2[[#This Row],[Average]]&lt;3,"Low",IF(Table2[[#This Row],[Average]]&lt;=4,"Med",IF(Table2[[#This Row],[Average]]&gt;4,"High")))</f>
        <v>Low</v>
      </c>
    </row>
    <row r="97" spans="1:26" x14ac:dyDescent="0.25">
      <c r="A97">
        <v>353740</v>
      </c>
      <c r="B97" t="s">
        <v>137</v>
      </c>
      <c r="C97" t="s">
        <v>23</v>
      </c>
      <c r="D97" t="s">
        <v>24</v>
      </c>
      <c r="E97" t="s">
        <v>165</v>
      </c>
      <c r="F97" t="s">
        <v>25</v>
      </c>
      <c r="G97" t="s">
        <v>29</v>
      </c>
      <c r="H97" s="1">
        <v>33196</v>
      </c>
      <c r="I97" s="1">
        <v>41948</v>
      </c>
      <c r="J97" s="2">
        <f ca="1">DATEDIF(Table2[[#This Row],[Tanggal Lahir]],NOW(),"Y")</f>
        <v>35</v>
      </c>
      <c r="K97" s="1" t="str">
        <f ca="1">IF(Table2[[#This Row],[Usia]]&lt;25,"Gen Z",IF(Table2[[#This Row],[Usia]]&lt;40,"Gen Y",IF(Table2[[#This Row],[Usia]]&lt;56,"Gen X",IF(Table2[[#This Row],[Usia]]&gt;=56,"Baby Boomer"))))</f>
        <v>Gen Y</v>
      </c>
      <c r="L97" t="s">
        <v>33</v>
      </c>
      <c r="M97">
        <v>3.8</v>
      </c>
      <c r="N97">
        <v>1.46</v>
      </c>
      <c r="O97">
        <v>2.4300000000000002</v>
      </c>
      <c r="P97">
        <v>3.35</v>
      </c>
      <c r="Q97">
        <v>4.9000000000000004</v>
      </c>
      <c r="R97">
        <v>1.31</v>
      </c>
      <c r="S97">
        <v>3.11</v>
      </c>
      <c r="T97">
        <v>3.8</v>
      </c>
      <c r="U97">
        <v>1.35</v>
      </c>
      <c r="V97">
        <v>4.72</v>
      </c>
      <c r="W97">
        <v>4.76</v>
      </c>
      <c r="X97">
        <v>3.33</v>
      </c>
      <c r="Y97" s="3">
        <f>AVERAGE(Table2[[#This Row],[Jan]:[Dec]])</f>
        <v>3.1933333333333334</v>
      </c>
      <c r="Z97" t="str">
        <f>IF(Table2[[#This Row],[Average]]&lt;3,"Low",IF(Table2[[#This Row],[Average]]&lt;=4,"Med",IF(Table2[[#This Row],[Average]]&gt;4,"High")))</f>
        <v>Med</v>
      </c>
    </row>
    <row r="98" spans="1:26" x14ac:dyDescent="0.25">
      <c r="A98">
        <v>354075</v>
      </c>
      <c r="B98" t="s">
        <v>138</v>
      </c>
      <c r="C98" t="s">
        <v>41</v>
      </c>
      <c r="D98" t="s">
        <v>24</v>
      </c>
      <c r="E98" t="s">
        <v>164</v>
      </c>
      <c r="F98" t="s">
        <v>25</v>
      </c>
      <c r="G98" t="s">
        <v>29</v>
      </c>
      <c r="H98" s="1">
        <v>31915</v>
      </c>
      <c r="I98" s="1">
        <v>42053</v>
      </c>
      <c r="J98" s="2">
        <f ca="1">DATEDIF(Table2[[#This Row],[Tanggal Lahir]],NOW(),"Y")</f>
        <v>39</v>
      </c>
      <c r="K98" s="1" t="str">
        <f ca="1">IF(Table2[[#This Row],[Usia]]&lt;25,"Gen Z",IF(Table2[[#This Row],[Usia]]&lt;40,"Gen Y",IF(Table2[[#This Row],[Usia]]&lt;56,"Gen X",IF(Table2[[#This Row],[Usia]]&gt;=56,"Baby Boomer"))))</f>
        <v>Gen Y</v>
      </c>
      <c r="L98" t="s">
        <v>33</v>
      </c>
      <c r="M98">
        <v>1.71</v>
      </c>
      <c r="N98">
        <v>4.7699999999999996</v>
      </c>
      <c r="O98">
        <v>1.86</v>
      </c>
      <c r="P98">
        <v>1.1399999999999999</v>
      </c>
      <c r="Q98">
        <v>3.49</v>
      </c>
      <c r="R98">
        <v>4.7300000000000004</v>
      </c>
      <c r="S98">
        <v>1.67</v>
      </c>
      <c r="T98">
        <v>4.57</v>
      </c>
      <c r="U98">
        <v>4.07</v>
      </c>
      <c r="V98">
        <v>2.58</v>
      </c>
      <c r="W98">
        <v>4.01</v>
      </c>
      <c r="X98">
        <v>4.67</v>
      </c>
      <c r="Y98" s="3">
        <f>AVERAGE(Table2[[#This Row],[Jan]:[Dec]])</f>
        <v>3.2725000000000004</v>
      </c>
      <c r="Z98" t="str">
        <f>IF(Table2[[#This Row],[Average]]&lt;3,"Low",IF(Table2[[#This Row],[Average]]&lt;=4,"Med",IF(Table2[[#This Row],[Average]]&gt;4,"High")))</f>
        <v>Med</v>
      </c>
    </row>
    <row r="99" spans="1:26" x14ac:dyDescent="0.25">
      <c r="A99">
        <v>354350</v>
      </c>
      <c r="B99" t="s">
        <v>139</v>
      </c>
      <c r="C99" t="s">
        <v>23</v>
      </c>
      <c r="D99" t="s">
        <v>24</v>
      </c>
      <c r="E99" t="s">
        <v>164</v>
      </c>
      <c r="F99" t="s">
        <v>25</v>
      </c>
      <c r="G99" t="s">
        <v>26</v>
      </c>
      <c r="H99" s="1">
        <v>34361</v>
      </c>
      <c r="I99" s="1">
        <v>42826</v>
      </c>
      <c r="J99" s="2">
        <f ca="1">DATEDIF(Table2[[#This Row],[Tanggal Lahir]],NOW(),"Y")</f>
        <v>32</v>
      </c>
      <c r="K99" s="1" t="str">
        <f ca="1">IF(Table2[[#This Row],[Usia]]&lt;25,"Gen Z",IF(Table2[[#This Row],[Usia]]&lt;40,"Gen Y",IF(Table2[[#This Row],[Usia]]&lt;56,"Gen X",IF(Table2[[#This Row],[Usia]]&gt;=56,"Baby Boomer"))))</f>
        <v>Gen Y</v>
      </c>
      <c r="L99" t="s">
        <v>30</v>
      </c>
      <c r="M99">
        <v>4.28</v>
      </c>
      <c r="N99">
        <v>1.18</v>
      </c>
      <c r="O99">
        <v>4.78</v>
      </c>
      <c r="P99">
        <v>1.85</v>
      </c>
      <c r="Q99">
        <v>3.48</v>
      </c>
      <c r="R99">
        <v>2.3199999999999998</v>
      </c>
      <c r="S99">
        <v>2.7</v>
      </c>
      <c r="T99">
        <v>2.48</v>
      </c>
      <c r="U99">
        <v>4.03</v>
      </c>
      <c r="V99">
        <v>4.58</v>
      </c>
      <c r="W99">
        <v>3.77</v>
      </c>
      <c r="X99">
        <v>1.72</v>
      </c>
      <c r="Y99" s="3">
        <f>AVERAGE(Table2[[#This Row],[Jan]:[Dec]])</f>
        <v>3.0975000000000001</v>
      </c>
      <c r="Z99" t="str">
        <f>IF(Table2[[#This Row],[Average]]&lt;3,"Low",IF(Table2[[#This Row],[Average]]&lt;=4,"Med",IF(Table2[[#This Row],[Average]]&gt;4,"High")))</f>
        <v>Med</v>
      </c>
    </row>
    <row r="100" spans="1:26" x14ac:dyDescent="0.25">
      <c r="A100">
        <v>355671</v>
      </c>
      <c r="B100" t="s">
        <v>140</v>
      </c>
      <c r="C100" t="s">
        <v>23</v>
      </c>
      <c r="D100" t="s">
        <v>24</v>
      </c>
      <c r="E100" t="s">
        <v>165</v>
      </c>
      <c r="F100" t="s">
        <v>25</v>
      </c>
      <c r="G100" t="s">
        <v>29</v>
      </c>
      <c r="H100" s="1">
        <v>32161</v>
      </c>
      <c r="I100" s="1">
        <v>42020</v>
      </c>
      <c r="J100" s="2">
        <f ca="1">DATEDIF(Table2[[#This Row],[Tanggal Lahir]],NOW(),"Y")</f>
        <v>38</v>
      </c>
      <c r="K100" s="1" t="str">
        <f ca="1">IF(Table2[[#This Row],[Usia]]&lt;25,"Gen Z",IF(Table2[[#This Row],[Usia]]&lt;40,"Gen Y",IF(Table2[[#This Row],[Usia]]&lt;56,"Gen X",IF(Table2[[#This Row],[Usia]]&gt;=56,"Baby Boomer"))))</f>
        <v>Gen Y</v>
      </c>
      <c r="L100" t="s">
        <v>33</v>
      </c>
      <c r="M100">
        <v>3.68</v>
      </c>
      <c r="N100">
        <v>3.12</v>
      </c>
      <c r="O100">
        <v>3.7</v>
      </c>
      <c r="P100">
        <v>1.35</v>
      </c>
      <c r="Q100">
        <v>4.96</v>
      </c>
      <c r="R100">
        <v>3.85</v>
      </c>
      <c r="S100">
        <v>1.29</v>
      </c>
      <c r="T100">
        <v>4.6500000000000004</v>
      </c>
      <c r="U100">
        <v>1.21</v>
      </c>
      <c r="V100">
        <v>1.86</v>
      </c>
      <c r="W100">
        <v>2.74</v>
      </c>
      <c r="X100">
        <v>4.0199999999999996</v>
      </c>
      <c r="Y100" s="3">
        <f>AVERAGE(Table2[[#This Row],[Jan]:[Dec]])</f>
        <v>3.035833333333334</v>
      </c>
      <c r="Z100" t="str">
        <f>IF(Table2[[#This Row],[Average]]&lt;3,"Low",IF(Table2[[#This Row],[Average]]&lt;=4,"Med",IF(Table2[[#This Row],[Average]]&gt;4,"High")))</f>
        <v>Med</v>
      </c>
    </row>
    <row r="101" spans="1:26" x14ac:dyDescent="0.25">
      <c r="A101">
        <v>356288</v>
      </c>
      <c r="B101" t="s">
        <v>141</v>
      </c>
      <c r="C101" t="s">
        <v>23</v>
      </c>
      <c r="D101" t="s">
        <v>24</v>
      </c>
      <c r="E101" t="s">
        <v>164</v>
      </c>
      <c r="F101" t="s">
        <v>25</v>
      </c>
      <c r="G101" t="s">
        <v>26</v>
      </c>
      <c r="H101" s="1">
        <v>34261</v>
      </c>
      <c r="I101" s="1">
        <v>42963</v>
      </c>
      <c r="J101" s="2">
        <f ca="1">DATEDIF(Table2[[#This Row],[Tanggal Lahir]],NOW(),"Y")</f>
        <v>32</v>
      </c>
      <c r="K101" s="1" t="str">
        <f ca="1">IF(Table2[[#This Row],[Usia]]&lt;25,"Gen Z",IF(Table2[[#This Row],[Usia]]&lt;40,"Gen Y",IF(Table2[[#This Row],[Usia]]&lt;56,"Gen X",IF(Table2[[#This Row],[Usia]]&gt;=56,"Baby Boomer"))))</f>
        <v>Gen Y</v>
      </c>
      <c r="L101" t="s">
        <v>30</v>
      </c>
      <c r="M101">
        <v>2.5299999999999998</v>
      </c>
      <c r="N101">
        <v>1.94</v>
      </c>
      <c r="O101">
        <v>5</v>
      </c>
      <c r="P101">
        <v>1.27</v>
      </c>
      <c r="Q101">
        <v>2.44</v>
      </c>
      <c r="R101">
        <v>3.45</v>
      </c>
      <c r="S101">
        <v>1.64</v>
      </c>
      <c r="T101">
        <v>3.92</v>
      </c>
      <c r="U101">
        <v>1.0900000000000001</v>
      </c>
      <c r="V101">
        <v>1.48</v>
      </c>
      <c r="W101">
        <v>3.39</v>
      </c>
      <c r="X101">
        <v>3.07</v>
      </c>
      <c r="Y101" s="3">
        <f>AVERAGE(Table2[[#This Row],[Jan]:[Dec]])</f>
        <v>2.6016666666666666</v>
      </c>
      <c r="Z101" t="str">
        <f>IF(Table2[[#This Row],[Average]]&lt;3,"Low",IF(Table2[[#This Row],[Average]]&lt;=4,"Med",IF(Table2[[#This Row],[Average]]&gt;4,"High")))</f>
        <v>Low</v>
      </c>
    </row>
    <row r="102" spans="1:26" x14ac:dyDescent="0.25">
      <c r="A102">
        <v>363210</v>
      </c>
      <c r="B102" t="s">
        <v>142</v>
      </c>
      <c r="C102" t="s">
        <v>41</v>
      </c>
      <c r="D102" t="s">
        <v>24</v>
      </c>
      <c r="E102" t="s">
        <v>165</v>
      </c>
      <c r="F102" t="s">
        <v>35</v>
      </c>
      <c r="G102" t="s">
        <v>26</v>
      </c>
      <c r="H102" s="1">
        <v>32907</v>
      </c>
      <c r="I102" s="1">
        <v>43862</v>
      </c>
      <c r="J102" s="2">
        <f ca="1">DATEDIF(Table2[[#This Row],[Tanggal Lahir]],NOW(),"Y")</f>
        <v>36</v>
      </c>
      <c r="K102" s="1" t="str">
        <f ca="1">IF(Table2[[#This Row],[Usia]]&lt;25,"Gen Z",IF(Table2[[#This Row],[Usia]]&lt;40,"Gen Y",IF(Table2[[#This Row],[Usia]]&lt;56,"Gen X",IF(Table2[[#This Row],[Usia]]&gt;=56,"Baby Boomer"))))</f>
        <v>Gen Y</v>
      </c>
      <c r="L102" t="s">
        <v>50</v>
      </c>
      <c r="M102">
        <v>1.81</v>
      </c>
      <c r="N102">
        <v>2.63</v>
      </c>
      <c r="O102">
        <v>3.72</v>
      </c>
      <c r="P102">
        <v>3.25</v>
      </c>
      <c r="Q102">
        <v>1.54</v>
      </c>
      <c r="R102">
        <v>2.57</v>
      </c>
      <c r="S102">
        <v>1.68</v>
      </c>
      <c r="T102">
        <v>3.13</v>
      </c>
      <c r="U102">
        <v>3.99</v>
      </c>
      <c r="V102">
        <v>4.2</v>
      </c>
      <c r="W102">
        <v>3.46</v>
      </c>
      <c r="X102">
        <v>1.4</v>
      </c>
      <c r="Y102" s="3">
        <f>AVERAGE(Table2[[#This Row],[Jan]:[Dec]])</f>
        <v>2.7816666666666667</v>
      </c>
      <c r="Z102" t="str">
        <f>IF(Table2[[#This Row],[Average]]&lt;3,"Low",IF(Table2[[#This Row],[Average]]&lt;=4,"Med",IF(Table2[[#This Row],[Average]]&gt;4,"High")))</f>
        <v>Low</v>
      </c>
    </row>
    <row r="103" spans="1:26" x14ac:dyDescent="0.25">
      <c r="A103">
        <v>370605</v>
      </c>
      <c r="B103" t="s">
        <v>143</v>
      </c>
      <c r="C103" t="s">
        <v>23</v>
      </c>
      <c r="D103" t="s">
        <v>24</v>
      </c>
      <c r="E103" t="s">
        <v>164</v>
      </c>
      <c r="F103" t="s">
        <v>35</v>
      </c>
      <c r="G103" t="s">
        <v>29</v>
      </c>
      <c r="H103" s="1">
        <v>34135</v>
      </c>
      <c r="I103" s="1">
        <v>44531</v>
      </c>
      <c r="J103" s="2">
        <f ca="1">DATEDIF(Table2[[#This Row],[Tanggal Lahir]],NOW(),"Y")</f>
        <v>33</v>
      </c>
      <c r="K103" s="1" t="str">
        <f ca="1">IF(Table2[[#This Row],[Usia]]&lt;25,"Gen Z",IF(Table2[[#This Row],[Usia]]&lt;40,"Gen Y",IF(Table2[[#This Row],[Usia]]&lt;56,"Gen X",IF(Table2[[#This Row],[Usia]]&gt;=56,"Baby Boomer"))))</f>
        <v>Gen Y</v>
      </c>
      <c r="L103" t="s">
        <v>104</v>
      </c>
      <c r="M103">
        <v>4.16</v>
      </c>
      <c r="N103">
        <v>1.84</v>
      </c>
      <c r="O103">
        <v>4.5599999999999996</v>
      </c>
      <c r="P103">
        <v>4.93</v>
      </c>
      <c r="Q103">
        <v>3.06</v>
      </c>
      <c r="R103">
        <v>4.4800000000000004</v>
      </c>
      <c r="S103">
        <v>2.2599999999999998</v>
      </c>
      <c r="T103">
        <v>2.61</v>
      </c>
      <c r="U103">
        <v>1.74</v>
      </c>
      <c r="V103">
        <v>3.57</v>
      </c>
      <c r="W103">
        <v>1.1299999999999999</v>
      </c>
      <c r="X103">
        <v>2.52</v>
      </c>
      <c r="Y103" s="3">
        <f>AVERAGE(Table2[[#This Row],[Jan]:[Dec]])</f>
        <v>3.0716666666666668</v>
      </c>
      <c r="Z103" t="str">
        <f>IF(Table2[[#This Row],[Average]]&lt;3,"Low",IF(Table2[[#This Row],[Average]]&lt;=4,"Med",IF(Table2[[#This Row],[Average]]&gt;4,"High")))</f>
        <v>Med</v>
      </c>
    </row>
    <row r="104" spans="1:26" x14ac:dyDescent="0.25">
      <c r="A104">
        <v>372160</v>
      </c>
      <c r="B104" t="s">
        <v>144</v>
      </c>
      <c r="C104" t="s">
        <v>41</v>
      </c>
      <c r="D104" t="s">
        <v>24</v>
      </c>
      <c r="E104" t="s">
        <v>164</v>
      </c>
      <c r="F104" t="s">
        <v>35</v>
      </c>
      <c r="G104" t="s">
        <v>26</v>
      </c>
      <c r="H104" s="1">
        <v>34270</v>
      </c>
      <c r="I104" s="1">
        <v>44424</v>
      </c>
      <c r="J104" s="2">
        <f ca="1">DATEDIF(Table2[[#This Row],[Tanggal Lahir]],NOW(),"Y")</f>
        <v>32</v>
      </c>
      <c r="K104" s="1" t="str">
        <f ca="1">IF(Table2[[#This Row],[Usia]]&lt;25,"Gen Z",IF(Table2[[#This Row],[Usia]]&lt;40,"Gen Y",IF(Table2[[#This Row],[Usia]]&lt;56,"Gen X",IF(Table2[[#This Row],[Usia]]&gt;=56,"Baby Boomer"))))</f>
        <v>Gen Y</v>
      </c>
      <c r="L104" t="s">
        <v>50</v>
      </c>
      <c r="M104">
        <v>1.67</v>
      </c>
      <c r="N104">
        <v>3.28</v>
      </c>
      <c r="O104">
        <v>1</v>
      </c>
      <c r="P104">
        <v>2.4</v>
      </c>
      <c r="Q104">
        <v>4.09</v>
      </c>
      <c r="R104">
        <v>4.38</v>
      </c>
      <c r="S104">
        <v>4.7300000000000004</v>
      </c>
      <c r="T104">
        <v>1.53</v>
      </c>
      <c r="U104">
        <v>3.92</v>
      </c>
      <c r="V104">
        <v>1.25</v>
      </c>
      <c r="W104">
        <v>4.03</v>
      </c>
      <c r="X104">
        <v>4.21</v>
      </c>
      <c r="Y104" s="3">
        <f>AVERAGE(Table2[[#This Row],[Jan]:[Dec]])</f>
        <v>3.0408333333333335</v>
      </c>
      <c r="Z104" t="str">
        <f>IF(Table2[[#This Row],[Average]]&lt;3,"Low",IF(Table2[[#This Row],[Average]]&lt;=4,"Med",IF(Table2[[#This Row],[Average]]&gt;4,"High")))</f>
        <v>Med</v>
      </c>
    </row>
    <row r="105" spans="1:26" x14ac:dyDescent="0.25">
      <c r="A105">
        <v>374548</v>
      </c>
      <c r="B105" t="s">
        <v>145</v>
      </c>
      <c r="C105" t="s">
        <v>23</v>
      </c>
      <c r="D105" t="s">
        <v>24</v>
      </c>
      <c r="E105" t="s">
        <v>165</v>
      </c>
      <c r="F105" t="s">
        <v>35</v>
      </c>
      <c r="G105" t="s">
        <v>26</v>
      </c>
      <c r="H105" s="1">
        <v>35097</v>
      </c>
      <c r="I105" s="1">
        <v>44577</v>
      </c>
      <c r="J105" s="2">
        <f ca="1">DATEDIF(Table2[[#This Row],[Tanggal Lahir]],NOW(),"Y")</f>
        <v>30</v>
      </c>
      <c r="K105" s="1" t="str">
        <f ca="1">IF(Table2[[#This Row],[Usia]]&lt;25,"Gen Z",IF(Table2[[#This Row],[Usia]]&lt;40,"Gen Y",IF(Table2[[#This Row],[Usia]]&lt;56,"Gen X",IF(Table2[[#This Row],[Usia]]&gt;=56,"Baby Boomer"))))</f>
        <v>Gen Y</v>
      </c>
      <c r="L105" t="s">
        <v>30</v>
      </c>
      <c r="M105">
        <v>3.76</v>
      </c>
      <c r="N105">
        <v>2.48</v>
      </c>
      <c r="O105">
        <v>4.4400000000000004</v>
      </c>
      <c r="P105">
        <v>2.87</v>
      </c>
      <c r="Q105">
        <v>2.58</v>
      </c>
      <c r="R105">
        <v>1.24</v>
      </c>
      <c r="S105">
        <v>3.29</v>
      </c>
      <c r="T105">
        <v>4.82</v>
      </c>
      <c r="U105">
        <v>3.39</v>
      </c>
      <c r="V105">
        <v>1.45</v>
      </c>
      <c r="W105">
        <v>4.49</v>
      </c>
      <c r="X105">
        <v>3.39</v>
      </c>
      <c r="Y105" s="3">
        <f>AVERAGE(Table2[[#This Row],[Jan]:[Dec]])</f>
        <v>3.1833333333333336</v>
      </c>
      <c r="Z105" t="str">
        <f>IF(Table2[[#This Row],[Average]]&lt;3,"Low",IF(Table2[[#This Row],[Average]]&lt;=4,"Med",IF(Table2[[#This Row],[Average]]&gt;4,"High")))</f>
        <v>Med</v>
      </c>
    </row>
    <row r="106" spans="1:26" x14ac:dyDescent="0.25">
      <c r="A106">
        <v>378399</v>
      </c>
      <c r="B106" t="s">
        <v>146</v>
      </c>
      <c r="C106" t="s">
        <v>23</v>
      </c>
      <c r="D106" t="s">
        <v>24</v>
      </c>
      <c r="E106" t="s">
        <v>165</v>
      </c>
      <c r="F106" t="s">
        <v>25</v>
      </c>
      <c r="G106" t="s">
        <v>29</v>
      </c>
      <c r="H106" s="1">
        <v>32089</v>
      </c>
      <c r="I106" s="1">
        <v>41554</v>
      </c>
      <c r="J106" s="2">
        <f ca="1">DATEDIF(Table2[[#This Row],[Tanggal Lahir]],NOW(),"Y")</f>
        <v>38</v>
      </c>
      <c r="K106" s="1" t="str">
        <f ca="1">IF(Table2[[#This Row],[Usia]]&lt;25,"Gen Z",IF(Table2[[#This Row],[Usia]]&lt;40,"Gen Y",IF(Table2[[#This Row],[Usia]]&lt;56,"Gen X",IF(Table2[[#This Row],[Usia]]&gt;=56,"Baby Boomer"))))</f>
        <v>Gen Y</v>
      </c>
      <c r="L106" t="s">
        <v>33</v>
      </c>
      <c r="M106">
        <v>1.3</v>
      </c>
      <c r="N106">
        <v>3.93</v>
      </c>
      <c r="O106">
        <v>2.02</v>
      </c>
      <c r="P106">
        <v>3.09</v>
      </c>
      <c r="Q106">
        <v>4.24</v>
      </c>
      <c r="R106">
        <v>1.23</v>
      </c>
      <c r="S106">
        <v>2.15</v>
      </c>
      <c r="T106">
        <v>4.1500000000000004</v>
      </c>
      <c r="U106">
        <v>1.22</v>
      </c>
      <c r="V106">
        <v>1.47</v>
      </c>
      <c r="W106">
        <v>1.03</v>
      </c>
      <c r="X106">
        <v>2.56</v>
      </c>
      <c r="Y106" s="3">
        <f>AVERAGE(Table2[[#This Row],[Jan]:[Dec]])</f>
        <v>2.3658333333333332</v>
      </c>
      <c r="Z106" t="str">
        <f>IF(Table2[[#This Row],[Average]]&lt;3,"Low",IF(Table2[[#This Row],[Average]]&lt;=4,"Med",IF(Table2[[#This Row],[Average]]&gt;4,"High")))</f>
        <v>Low</v>
      </c>
    </row>
    <row r="107" spans="1:26" x14ac:dyDescent="0.25">
      <c r="A107">
        <v>385419</v>
      </c>
      <c r="B107" t="s">
        <v>147</v>
      </c>
      <c r="C107" t="s">
        <v>23</v>
      </c>
      <c r="D107" t="s">
        <v>24</v>
      </c>
      <c r="E107" t="s">
        <v>164</v>
      </c>
      <c r="F107" t="s">
        <v>35</v>
      </c>
      <c r="G107" t="s">
        <v>26</v>
      </c>
      <c r="H107" s="1">
        <v>34059</v>
      </c>
      <c r="I107" s="1">
        <v>44287</v>
      </c>
      <c r="J107" s="2">
        <f ca="1">DATEDIF(Table2[[#This Row],[Tanggal Lahir]],NOW(),"Y")</f>
        <v>33</v>
      </c>
      <c r="K107" s="1" t="str">
        <f ca="1">IF(Table2[[#This Row],[Usia]]&lt;25,"Gen Z",IF(Table2[[#This Row],[Usia]]&lt;40,"Gen Y",IF(Table2[[#This Row],[Usia]]&lt;56,"Gen X",IF(Table2[[#This Row],[Usia]]&gt;=56,"Baby Boomer"))))</f>
        <v>Gen Y</v>
      </c>
      <c r="L107" t="s">
        <v>30</v>
      </c>
      <c r="M107">
        <v>2.78</v>
      </c>
      <c r="N107">
        <v>2.77</v>
      </c>
      <c r="O107">
        <v>3.26</v>
      </c>
      <c r="P107">
        <v>2.99</v>
      </c>
      <c r="Q107">
        <v>4.13</v>
      </c>
      <c r="R107">
        <v>2.25</v>
      </c>
      <c r="S107">
        <v>4.1399999999999997</v>
      </c>
      <c r="T107">
        <v>2.29</v>
      </c>
      <c r="U107">
        <v>1.63</v>
      </c>
      <c r="V107">
        <v>1.53</v>
      </c>
      <c r="W107">
        <v>2.75</v>
      </c>
      <c r="X107">
        <v>1.1299999999999999</v>
      </c>
      <c r="Y107" s="3">
        <f>AVERAGE(Table2[[#This Row],[Jan]:[Dec]])</f>
        <v>2.6374999999999997</v>
      </c>
      <c r="Z107" t="str">
        <f>IF(Table2[[#This Row],[Average]]&lt;3,"Low",IF(Table2[[#This Row],[Average]]&lt;=4,"Med",IF(Table2[[#This Row],[Average]]&gt;4,"High")))</f>
        <v>Low</v>
      </c>
    </row>
    <row r="108" spans="1:26" x14ac:dyDescent="0.25">
      <c r="A108">
        <v>386336</v>
      </c>
      <c r="B108" t="s">
        <v>148</v>
      </c>
      <c r="C108" t="s">
        <v>23</v>
      </c>
      <c r="D108" t="s">
        <v>24</v>
      </c>
      <c r="E108" t="s">
        <v>165</v>
      </c>
      <c r="F108" t="s">
        <v>25</v>
      </c>
      <c r="G108" t="s">
        <v>26</v>
      </c>
      <c r="H108" s="1">
        <v>32406</v>
      </c>
      <c r="I108" s="1">
        <v>41701</v>
      </c>
      <c r="J108" s="2">
        <f ca="1">DATEDIF(Table2[[#This Row],[Tanggal Lahir]],NOW(),"Y")</f>
        <v>37</v>
      </c>
      <c r="K108" s="1" t="str">
        <f ca="1">IF(Table2[[#This Row],[Usia]]&lt;25,"Gen Z",IF(Table2[[#This Row],[Usia]]&lt;40,"Gen Y",IF(Table2[[#This Row],[Usia]]&lt;56,"Gen X",IF(Table2[[#This Row],[Usia]]&gt;=56,"Baby Boomer"))))</f>
        <v>Gen Y</v>
      </c>
      <c r="L108" t="s">
        <v>33</v>
      </c>
      <c r="M108">
        <v>4.6399999999999997</v>
      </c>
      <c r="N108">
        <v>1.59</v>
      </c>
      <c r="O108">
        <v>2.64</v>
      </c>
      <c r="P108">
        <v>1.67</v>
      </c>
      <c r="Q108">
        <v>4.8099999999999996</v>
      </c>
      <c r="R108">
        <v>1.8</v>
      </c>
      <c r="S108">
        <v>4.3499999999999996</v>
      </c>
      <c r="T108">
        <v>1.43</v>
      </c>
      <c r="U108">
        <v>2.42</v>
      </c>
      <c r="V108">
        <v>3.93</v>
      </c>
      <c r="W108">
        <v>2.48</v>
      </c>
      <c r="X108">
        <v>2.6</v>
      </c>
      <c r="Y108" s="3">
        <f>AVERAGE(Table2[[#This Row],[Jan]:[Dec]])</f>
        <v>2.8633333333333333</v>
      </c>
      <c r="Z108" t="str">
        <f>IF(Table2[[#This Row],[Average]]&lt;3,"Low",IF(Table2[[#This Row],[Average]]&lt;=4,"Med",IF(Table2[[#This Row],[Average]]&gt;4,"High")))</f>
        <v>Low</v>
      </c>
    </row>
    <row r="109" spans="1:26" x14ac:dyDescent="0.25">
      <c r="A109">
        <v>388195</v>
      </c>
      <c r="B109" t="s">
        <v>149</v>
      </c>
      <c r="C109" t="s">
        <v>41</v>
      </c>
      <c r="D109" t="s">
        <v>24</v>
      </c>
      <c r="E109" t="s">
        <v>165</v>
      </c>
      <c r="F109" t="s">
        <v>35</v>
      </c>
      <c r="G109" t="s">
        <v>29</v>
      </c>
      <c r="H109" s="1">
        <v>35010</v>
      </c>
      <c r="I109" s="1">
        <v>44531</v>
      </c>
      <c r="J109" s="2">
        <f ca="1">DATEDIF(Table2[[#This Row],[Tanggal Lahir]],NOW(),"Y")</f>
        <v>30</v>
      </c>
      <c r="K109" s="1" t="str">
        <f ca="1">IF(Table2[[#This Row],[Usia]]&lt;25,"Gen Z",IF(Table2[[#This Row],[Usia]]&lt;40,"Gen Y",IF(Table2[[#This Row],[Usia]]&lt;56,"Gen X",IF(Table2[[#This Row],[Usia]]&gt;=56,"Baby Boomer"))))</f>
        <v>Gen Y</v>
      </c>
      <c r="L109" t="s">
        <v>50</v>
      </c>
      <c r="M109">
        <v>3.04</v>
      </c>
      <c r="N109">
        <v>4.8</v>
      </c>
      <c r="O109">
        <v>4.4000000000000004</v>
      </c>
      <c r="P109">
        <v>1.06</v>
      </c>
      <c r="Q109">
        <v>4.51</v>
      </c>
      <c r="R109">
        <v>4.55</v>
      </c>
      <c r="S109">
        <v>1.0900000000000001</v>
      </c>
      <c r="T109">
        <v>4.08</v>
      </c>
      <c r="U109">
        <v>4.63</v>
      </c>
      <c r="V109">
        <v>4.18</v>
      </c>
      <c r="W109">
        <v>2.91</v>
      </c>
      <c r="X109">
        <v>4.8899999999999997</v>
      </c>
      <c r="Y109" s="3">
        <f>AVERAGE(Table2[[#This Row],[Jan]:[Dec]])</f>
        <v>3.6783333333333332</v>
      </c>
      <c r="Z109" t="str">
        <f>IF(Table2[[#This Row],[Average]]&lt;3,"Low",IF(Table2[[#This Row],[Average]]&lt;=4,"Med",IF(Table2[[#This Row],[Average]]&gt;4,"High")))</f>
        <v>Med</v>
      </c>
    </row>
    <row r="110" spans="1:26" x14ac:dyDescent="0.25">
      <c r="A110">
        <v>390140</v>
      </c>
      <c r="B110" t="s">
        <v>150</v>
      </c>
      <c r="C110" t="s">
        <v>23</v>
      </c>
      <c r="D110" t="s">
        <v>24</v>
      </c>
      <c r="E110" t="s">
        <v>165</v>
      </c>
      <c r="F110" t="s">
        <v>35</v>
      </c>
      <c r="G110" t="s">
        <v>29</v>
      </c>
      <c r="H110" s="1">
        <v>32882</v>
      </c>
      <c r="I110" s="1">
        <v>43922</v>
      </c>
      <c r="J110" s="2">
        <f ca="1">DATEDIF(Table2[[#This Row],[Tanggal Lahir]],NOW(),"Y")</f>
        <v>36</v>
      </c>
      <c r="K110" s="1" t="str">
        <f ca="1">IF(Table2[[#This Row],[Usia]]&lt;25,"Gen Z",IF(Table2[[#This Row],[Usia]]&lt;40,"Gen Y",IF(Table2[[#This Row],[Usia]]&lt;56,"Gen X",IF(Table2[[#This Row],[Usia]]&gt;=56,"Baby Boomer"))))</f>
        <v>Gen Y</v>
      </c>
      <c r="L110" t="s">
        <v>104</v>
      </c>
      <c r="M110">
        <v>4.53</v>
      </c>
      <c r="N110">
        <v>4.7300000000000004</v>
      </c>
      <c r="O110">
        <v>4.13</v>
      </c>
      <c r="P110">
        <v>3.63</v>
      </c>
      <c r="Q110">
        <v>3.03</v>
      </c>
      <c r="R110">
        <v>4.66</v>
      </c>
      <c r="S110">
        <v>2.2999999999999998</v>
      </c>
      <c r="T110">
        <v>1.61</v>
      </c>
      <c r="U110">
        <v>4.88</v>
      </c>
      <c r="V110">
        <v>3.38</v>
      </c>
      <c r="W110">
        <v>4.32</v>
      </c>
      <c r="X110">
        <v>4.4800000000000004</v>
      </c>
      <c r="Y110" s="3">
        <f>AVERAGE(Table2[[#This Row],[Jan]:[Dec]])</f>
        <v>3.8066666666666671</v>
      </c>
      <c r="Z110" t="str">
        <f>IF(Table2[[#This Row],[Average]]&lt;3,"Low",IF(Table2[[#This Row],[Average]]&lt;=4,"Med",IF(Table2[[#This Row],[Average]]&gt;4,"High")))</f>
        <v>Med</v>
      </c>
    </row>
    <row r="111" spans="1:26" x14ac:dyDescent="0.25">
      <c r="A111">
        <v>393102</v>
      </c>
      <c r="B111" t="s">
        <v>151</v>
      </c>
      <c r="C111" t="s">
        <v>23</v>
      </c>
      <c r="D111" t="s">
        <v>24</v>
      </c>
      <c r="E111" t="s">
        <v>164</v>
      </c>
      <c r="F111" t="s">
        <v>25</v>
      </c>
      <c r="G111" t="s">
        <v>26</v>
      </c>
      <c r="H111" s="1">
        <v>32402</v>
      </c>
      <c r="I111" s="1">
        <v>41596</v>
      </c>
      <c r="J111" s="2">
        <f ca="1">DATEDIF(Table2[[#This Row],[Tanggal Lahir]],NOW(),"Y")</f>
        <v>37</v>
      </c>
      <c r="K111" s="1" t="str">
        <f ca="1">IF(Table2[[#This Row],[Usia]]&lt;25,"Gen Z",IF(Table2[[#This Row],[Usia]]&lt;40,"Gen Y",IF(Table2[[#This Row],[Usia]]&lt;56,"Gen X",IF(Table2[[#This Row],[Usia]]&gt;=56,"Baby Boomer"))))</f>
        <v>Gen Y</v>
      </c>
      <c r="L111" t="s">
        <v>33</v>
      </c>
      <c r="M111">
        <v>2.74</v>
      </c>
      <c r="N111">
        <v>4.88</v>
      </c>
      <c r="O111">
        <v>2.76</v>
      </c>
      <c r="P111">
        <v>4.6900000000000004</v>
      </c>
      <c r="Q111">
        <v>1.1599999999999999</v>
      </c>
      <c r="R111">
        <v>3.33</v>
      </c>
      <c r="S111">
        <v>3.98</v>
      </c>
      <c r="T111">
        <v>2.9</v>
      </c>
      <c r="U111">
        <v>4.08</v>
      </c>
      <c r="V111">
        <v>2.9</v>
      </c>
      <c r="W111">
        <v>4.25</v>
      </c>
      <c r="X111">
        <v>2.9</v>
      </c>
      <c r="Y111" s="3">
        <f>AVERAGE(Table2[[#This Row],[Jan]:[Dec]])</f>
        <v>3.3808333333333334</v>
      </c>
      <c r="Z111" t="str">
        <f>IF(Table2[[#This Row],[Average]]&lt;3,"Low",IF(Table2[[#This Row],[Average]]&lt;=4,"Med",IF(Table2[[#This Row],[Average]]&gt;4,"High")))</f>
        <v>Med</v>
      </c>
    </row>
    <row r="112" spans="1:26" x14ac:dyDescent="0.25">
      <c r="A112">
        <v>401991</v>
      </c>
      <c r="B112" t="s">
        <v>152</v>
      </c>
      <c r="C112" t="s">
        <v>48</v>
      </c>
      <c r="D112" t="s">
        <v>49</v>
      </c>
      <c r="E112" t="s">
        <v>164</v>
      </c>
      <c r="F112" t="s">
        <v>25</v>
      </c>
      <c r="G112" t="s">
        <v>26</v>
      </c>
      <c r="H112" s="1">
        <v>25644</v>
      </c>
      <c r="I112" s="1">
        <v>37136</v>
      </c>
      <c r="J112" s="2">
        <f ca="1">DATEDIF(Table2[[#This Row],[Tanggal Lahir]],NOW(),"Y")</f>
        <v>56</v>
      </c>
      <c r="K112" s="1" t="str">
        <f ca="1">IF(Table2[[#This Row],[Usia]]&lt;25,"Gen Z",IF(Table2[[#This Row],[Usia]]&lt;40,"Gen Y",IF(Table2[[#This Row],[Usia]]&lt;56,"Gen X",IF(Table2[[#This Row],[Usia]]&gt;=56,"Baby Boomer"))))</f>
        <v>Baby Boomer</v>
      </c>
      <c r="L112" t="s">
        <v>33</v>
      </c>
      <c r="M112">
        <v>1.25</v>
      </c>
      <c r="N112">
        <v>2.23</v>
      </c>
      <c r="O112">
        <v>2.0099999999999998</v>
      </c>
      <c r="P112">
        <v>4.8</v>
      </c>
      <c r="Q112">
        <v>3.55</v>
      </c>
      <c r="R112">
        <v>2.13</v>
      </c>
      <c r="S112">
        <v>4.82</v>
      </c>
      <c r="T112">
        <v>4.82</v>
      </c>
      <c r="U112">
        <v>3.55</v>
      </c>
      <c r="V112">
        <v>3.56</v>
      </c>
      <c r="W112">
        <v>1.87</v>
      </c>
      <c r="X112">
        <v>4.16</v>
      </c>
      <c r="Y112" s="3">
        <f>AVERAGE(Table2[[#This Row],[Jan]:[Dec]])</f>
        <v>3.2291666666666665</v>
      </c>
      <c r="Z112" t="str">
        <f>IF(Table2[[#This Row],[Average]]&lt;3,"Low",IF(Table2[[#This Row],[Average]]&lt;=4,"Med",IF(Table2[[#This Row],[Average]]&gt;4,"High")))</f>
        <v>Med</v>
      </c>
    </row>
    <row r="113" spans="1:26" x14ac:dyDescent="0.25">
      <c r="A113">
        <v>404838</v>
      </c>
      <c r="B113" t="s">
        <v>153</v>
      </c>
      <c r="C113" t="s">
        <v>23</v>
      </c>
      <c r="D113" t="s">
        <v>24</v>
      </c>
      <c r="E113" t="s">
        <v>165</v>
      </c>
      <c r="F113" t="s">
        <v>25</v>
      </c>
      <c r="G113" t="s">
        <v>29</v>
      </c>
      <c r="H113" s="1">
        <v>31690</v>
      </c>
      <c r="I113" s="1">
        <v>42856</v>
      </c>
      <c r="J113" s="2">
        <f ca="1">DATEDIF(Table2[[#This Row],[Tanggal Lahir]],NOW(),"Y")</f>
        <v>39</v>
      </c>
      <c r="K113" s="1" t="str">
        <f ca="1">IF(Table2[[#This Row],[Usia]]&lt;25,"Gen Z",IF(Table2[[#This Row],[Usia]]&lt;40,"Gen Y",IF(Table2[[#This Row],[Usia]]&lt;56,"Gen X",IF(Table2[[#This Row],[Usia]]&gt;=56,"Baby Boomer"))))</f>
        <v>Gen Y</v>
      </c>
      <c r="L113" t="s">
        <v>33</v>
      </c>
      <c r="M113">
        <v>2.6</v>
      </c>
      <c r="N113">
        <v>2.11</v>
      </c>
      <c r="O113">
        <v>3.79</v>
      </c>
      <c r="P113">
        <v>1.24</v>
      </c>
      <c r="Q113">
        <v>2.93</v>
      </c>
      <c r="R113">
        <v>4.8899999999999997</v>
      </c>
      <c r="S113">
        <v>1.97</v>
      </c>
      <c r="T113">
        <v>4.63</v>
      </c>
      <c r="U113">
        <v>2.23</v>
      </c>
      <c r="V113">
        <v>3.05</v>
      </c>
      <c r="W113">
        <v>1.37</v>
      </c>
      <c r="X113">
        <v>4.74</v>
      </c>
      <c r="Y113" s="3">
        <f>AVERAGE(Table2[[#This Row],[Jan]:[Dec]])</f>
        <v>2.9624999999999999</v>
      </c>
      <c r="Z113" t="str">
        <f>IF(Table2[[#This Row],[Average]]&lt;3,"Low",IF(Table2[[#This Row],[Average]]&lt;=4,"Med",IF(Table2[[#This Row],[Average]]&gt;4,"High")))</f>
        <v>Low</v>
      </c>
    </row>
    <row r="114" spans="1:26" x14ac:dyDescent="0.25">
      <c r="A114">
        <v>406392</v>
      </c>
      <c r="B114" t="s">
        <v>154</v>
      </c>
      <c r="C114" t="s">
        <v>23</v>
      </c>
      <c r="D114" t="s">
        <v>24</v>
      </c>
      <c r="E114" t="s">
        <v>164</v>
      </c>
      <c r="F114" t="s">
        <v>25</v>
      </c>
      <c r="G114" t="s">
        <v>29</v>
      </c>
      <c r="H114" s="1">
        <v>33442</v>
      </c>
      <c r="I114" s="1">
        <v>42856</v>
      </c>
      <c r="J114" s="2">
        <f ca="1">DATEDIF(Table2[[#This Row],[Tanggal Lahir]],NOW(),"Y")</f>
        <v>35</v>
      </c>
      <c r="K114" s="1" t="str">
        <f ca="1">IF(Table2[[#This Row],[Usia]]&lt;25,"Gen Z",IF(Table2[[#This Row],[Usia]]&lt;40,"Gen Y",IF(Table2[[#This Row],[Usia]]&lt;56,"Gen X",IF(Table2[[#This Row],[Usia]]&gt;=56,"Baby Boomer"))))</f>
        <v>Gen Y</v>
      </c>
      <c r="L114" t="s">
        <v>33</v>
      </c>
      <c r="M114">
        <v>1.63</v>
      </c>
      <c r="N114">
        <v>1.97</v>
      </c>
      <c r="O114">
        <v>1.58</v>
      </c>
      <c r="P114">
        <v>3.62</v>
      </c>
      <c r="Q114">
        <v>1.77</v>
      </c>
      <c r="R114">
        <v>2.33</v>
      </c>
      <c r="S114">
        <v>4.95</v>
      </c>
      <c r="T114">
        <v>4.9000000000000004</v>
      </c>
      <c r="U114">
        <v>4.5199999999999996</v>
      </c>
      <c r="V114">
        <v>3</v>
      </c>
      <c r="W114">
        <v>1.4</v>
      </c>
      <c r="X114">
        <v>2.0099999999999998</v>
      </c>
      <c r="Y114" s="3">
        <f>AVERAGE(Table2[[#This Row],[Jan]:[Dec]])</f>
        <v>2.8066666666666666</v>
      </c>
      <c r="Z114" t="str">
        <f>IF(Table2[[#This Row],[Average]]&lt;3,"Low",IF(Table2[[#This Row],[Average]]&lt;=4,"Med",IF(Table2[[#This Row],[Average]]&gt;4,"High")))</f>
        <v>Low</v>
      </c>
    </row>
    <row r="115" spans="1:26" x14ac:dyDescent="0.25">
      <c r="A115">
        <v>407671</v>
      </c>
      <c r="B115" t="s">
        <v>155</v>
      </c>
      <c r="C115" t="s">
        <v>23</v>
      </c>
      <c r="D115" t="s">
        <v>24</v>
      </c>
      <c r="E115" t="s">
        <v>164</v>
      </c>
      <c r="F115" t="s">
        <v>25</v>
      </c>
      <c r="G115" t="s">
        <v>26</v>
      </c>
      <c r="H115" s="1">
        <v>36413</v>
      </c>
      <c r="I115" s="1">
        <v>42795</v>
      </c>
      <c r="J115" s="2">
        <f ca="1">DATEDIF(Table2[[#This Row],[Tanggal Lahir]],NOW(),"Y")</f>
        <v>26</v>
      </c>
      <c r="K115" s="1" t="str">
        <f ca="1">IF(Table2[[#This Row],[Usia]]&lt;25,"Gen Z",IF(Table2[[#This Row],[Usia]]&lt;40,"Gen Y",IF(Table2[[#This Row],[Usia]]&lt;56,"Gen X",IF(Table2[[#This Row],[Usia]]&gt;=56,"Baby Boomer"))))</f>
        <v>Gen Y</v>
      </c>
      <c r="L115" t="s">
        <v>50</v>
      </c>
      <c r="M115">
        <v>2.25</v>
      </c>
      <c r="N115">
        <v>1.49</v>
      </c>
      <c r="O115">
        <v>1.8</v>
      </c>
      <c r="P115">
        <v>1.84</v>
      </c>
      <c r="Q115">
        <v>2.96</v>
      </c>
      <c r="R115">
        <v>2.82</v>
      </c>
      <c r="S115">
        <v>2.91</v>
      </c>
      <c r="T115">
        <v>4.71</v>
      </c>
      <c r="U115">
        <v>1.71</v>
      </c>
      <c r="V115">
        <v>3.44</v>
      </c>
      <c r="W115">
        <v>3.01</v>
      </c>
      <c r="X115">
        <v>4.2</v>
      </c>
      <c r="Y115" s="3">
        <f>AVERAGE(Table2[[#This Row],[Jan]:[Dec]])</f>
        <v>2.7616666666666672</v>
      </c>
      <c r="Z115" t="str">
        <f>IF(Table2[[#This Row],[Average]]&lt;3,"Low",IF(Table2[[#This Row],[Average]]&lt;=4,"Med",IF(Table2[[#This Row],[Average]]&gt;4,"High")))</f>
        <v>Low</v>
      </c>
    </row>
    <row r="116" spans="1:26" x14ac:dyDescent="0.25">
      <c r="A116">
        <v>409553</v>
      </c>
      <c r="B116" t="s">
        <v>156</v>
      </c>
      <c r="C116" t="s">
        <v>23</v>
      </c>
      <c r="D116" t="s">
        <v>24</v>
      </c>
      <c r="E116" t="s">
        <v>165</v>
      </c>
      <c r="F116" t="s">
        <v>25</v>
      </c>
      <c r="G116" t="s">
        <v>26</v>
      </c>
      <c r="H116" s="1">
        <v>31063</v>
      </c>
      <c r="I116" s="1">
        <v>40534</v>
      </c>
      <c r="J116" s="2">
        <f ca="1">DATEDIF(Table2[[#This Row],[Tanggal Lahir]],NOW(),"Y")</f>
        <v>41</v>
      </c>
      <c r="K116" s="1" t="str">
        <f ca="1">IF(Table2[[#This Row],[Usia]]&lt;25,"Gen Z",IF(Table2[[#This Row],[Usia]]&lt;40,"Gen Y",IF(Table2[[#This Row],[Usia]]&lt;56,"Gen X",IF(Table2[[#This Row],[Usia]]&gt;=56,"Baby Boomer"))))</f>
        <v>Gen X</v>
      </c>
      <c r="L116" t="s">
        <v>33</v>
      </c>
      <c r="M116">
        <v>3.83</v>
      </c>
      <c r="N116">
        <v>3.95</v>
      </c>
      <c r="O116">
        <v>2.74</v>
      </c>
      <c r="P116">
        <v>4.72</v>
      </c>
      <c r="Q116">
        <v>2.35</v>
      </c>
      <c r="R116">
        <v>2.63</v>
      </c>
      <c r="S116">
        <v>4.97</v>
      </c>
      <c r="T116">
        <v>1.48</v>
      </c>
      <c r="U116">
        <v>1.44</v>
      </c>
      <c r="V116">
        <v>1.18</v>
      </c>
      <c r="W116">
        <v>3.32</v>
      </c>
      <c r="X116">
        <v>1.86</v>
      </c>
      <c r="Y116" s="3">
        <f>AVERAGE(Table2[[#This Row],[Jan]:[Dec]])</f>
        <v>2.8725000000000001</v>
      </c>
      <c r="Z116" t="str">
        <f>IF(Table2[[#This Row],[Average]]&lt;3,"Low",IF(Table2[[#This Row],[Average]]&lt;=4,"Med",IF(Table2[[#This Row],[Average]]&gt;4,"High")))</f>
        <v>Low</v>
      </c>
    </row>
    <row r="117" spans="1:26" x14ac:dyDescent="0.25">
      <c r="A117">
        <v>423143</v>
      </c>
      <c r="B117" t="s">
        <v>157</v>
      </c>
      <c r="C117" t="s">
        <v>23</v>
      </c>
      <c r="D117" t="s">
        <v>38</v>
      </c>
      <c r="E117" t="s">
        <v>164</v>
      </c>
      <c r="F117" t="s">
        <v>25</v>
      </c>
      <c r="G117" t="s">
        <v>26</v>
      </c>
      <c r="H117" s="1">
        <v>31644</v>
      </c>
      <c r="I117" s="1">
        <v>41092</v>
      </c>
      <c r="J117" s="2">
        <f ca="1">DATEDIF(Table2[[#This Row],[Tanggal Lahir]],NOW(),"Y")</f>
        <v>39</v>
      </c>
      <c r="K117" s="1" t="str">
        <f ca="1">IF(Table2[[#This Row],[Usia]]&lt;25,"Gen Z",IF(Table2[[#This Row],[Usia]]&lt;40,"Gen Y",IF(Table2[[#This Row],[Usia]]&lt;56,"Gen X",IF(Table2[[#This Row],[Usia]]&gt;=56,"Baby Boomer"))))</f>
        <v>Gen Y</v>
      </c>
      <c r="L117" t="s">
        <v>33</v>
      </c>
      <c r="M117">
        <v>4.2300000000000004</v>
      </c>
      <c r="N117">
        <v>2.1800000000000002</v>
      </c>
      <c r="O117">
        <v>4.51</v>
      </c>
      <c r="P117">
        <v>1.02</v>
      </c>
      <c r="Q117">
        <v>1.49</v>
      </c>
      <c r="R117">
        <v>3.62</v>
      </c>
      <c r="S117">
        <v>3.21</v>
      </c>
      <c r="T117">
        <v>3.73</v>
      </c>
      <c r="U117">
        <v>1.82</v>
      </c>
      <c r="V117">
        <v>1.19</v>
      </c>
      <c r="W117">
        <v>2.14</v>
      </c>
      <c r="X117">
        <v>4.5999999999999996</v>
      </c>
      <c r="Y117" s="3">
        <f>AVERAGE(Table2[[#This Row],[Jan]:[Dec]])</f>
        <v>2.811666666666667</v>
      </c>
      <c r="Z117" t="str">
        <f>IF(Table2[[#This Row],[Average]]&lt;3,"Low",IF(Table2[[#This Row],[Average]]&lt;=4,"Med",IF(Table2[[#This Row],[Average]]&gt;4,"High")))</f>
        <v>Low</v>
      </c>
    </row>
    <row r="118" spans="1:26" x14ac:dyDescent="0.25">
      <c r="A118">
        <v>425599</v>
      </c>
      <c r="B118" t="s">
        <v>158</v>
      </c>
      <c r="C118" t="s">
        <v>23</v>
      </c>
      <c r="D118" t="s">
        <v>24</v>
      </c>
      <c r="E118" t="s">
        <v>164</v>
      </c>
      <c r="F118" t="s">
        <v>25</v>
      </c>
      <c r="G118" t="s">
        <v>29</v>
      </c>
      <c r="H118" s="1">
        <v>32442</v>
      </c>
      <c r="I118" s="1">
        <v>43070</v>
      </c>
      <c r="J118" s="2">
        <f ca="1">DATEDIF(Table2[[#This Row],[Tanggal Lahir]],NOW(),"Y")</f>
        <v>37</v>
      </c>
      <c r="K118" s="1" t="str">
        <f ca="1">IF(Table2[[#This Row],[Usia]]&lt;25,"Gen Z",IF(Table2[[#This Row],[Usia]]&lt;40,"Gen Y",IF(Table2[[#This Row],[Usia]]&lt;56,"Gen X",IF(Table2[[#This Row],[Usia]]&gt;=56,"Baby Boomer"))))</f>
        <v>Gen Y</v>
      </c>
      <c r="L118" t="s">
        <v>33</v>
      </c>
      <c r="M118">
        <v>1.1299999999999999</v>
      </c>
      <c r="N118">
        <v>2.92</v>
      </c>
      <c r="O118">
        <v>1.89</v>
      </c>
      <c r="P118">
        <v>4.34</v>
      </c>
      <c r="Q118">
        <v>2.5099999999999998</v>
      </c>
      <c r="R118">
        <v>4.1900000000000004</v>
      </c>
      <c r="S118">
        <v>4.5999999999999996</v>
      </c>
      <c r="T118">
        <v>3.66</v>
      </c>
      <c r="U118">
        <v>3.41</v>
      </c>
      <c r="V118">
        <v>4.6399999999999997</v>
      </c>
      <c r="W118">
        <v>4.53</v>
      </c>
      <c r="X118">
        <v>3.25</v>
      </c>
      <c r="Y118" s="3">
        <f>AVERAGE(Table2[[#This Row],[Jan]:[Dec]])</f>
        <v>3.4224999999999999</v>
      </c>
      <c r="Z118" t="str">
        <f>IF(Table2[[#This Row],[Average]]&lt;3,"Low",IF(Table2[[#This Row],[Average]]&lt;=4,"Med",IF(Table2[[#This Row],[Average]]&gt;4,"High")))</f>
        <v>Med</v>
      </c>
    </row>
    <row r="119" spans="1:26" x14ac:dyDescent="0.25">
      <c r="A119">
        <v>428491</v>
      </c>
      <c r="B119" t="s">
        <v>159</v>
      </c>
      <c r="C119" t="s">
        <v>23</v>
      </c>
      <c r="D119" t="s">
        <v>24</v>
      </c>
      <c r="E119" t="s">
        <v>165</v>
      </c>
      <c r="F119" t="s">
        <v>35</v>
      </c>
      <c r="G119" t="s">
        <v>29</v>
      </c>
      <c r="H119" s="1">
        <v>31060</v>
      </c>
      <c r="I119" s="1">
        <v>43770</v>
      </c>
      <c r="J119" s="2">
        <f ca="1">DATEDIF(Table2[[#This Row],[Tanggal Lahir]],NOW(),"Y")</f>
        <v>41</v>
      </c>
      <c r="K119" s="1" t="str">
        <f ca="1">IF(Table2[[#This Row],[Usia]]&lt;25,"Gen Z",IF(Table2[[#This Row],[Usia]]&lt;40,"Gen Y",IF(Table2[[#This Row],[Usia]]&lt;56,"Gen X",IF(Table2[[#This Row],[Usia]]&gt;=56,"Baby Boomer"))))</f>
        <v>Gen X</v>
      </c>
      <c r="L119" t="s">
        <v>50</v>
      </c>
      <c r="M119">
        <v>3.43</v>
      </c>
      <c r="N119">
        <v>1.84</v>
      </c>
      <c r="O119">
        <v>4.59</v>
      </c>
      <c r="P119">
        <v>4.0199999999999996</v>
      </c>
      <c r="Q119">
        <v>1.6</v>
      </c>
      <c r="R119">
        <v>4.75</v>
      </c>
      <c r="S119">
        <v>3.03</v>
      </c>
      <c r="T119">
        <v>2.83</v>
      </c>
      <c r="U119">
        <v>2.88</v>
      </c>
      <c r="V119">
        <v>1.89</v>
      </c>
      <c r="W119">
        <v>3.89</v>
      </c>
      <c r="X119">
        <v>1.63</v>
      </c>
      <c r="Y119" s="3">
        <f>AVERAGE(Table2[[#This Row],[Jan]:[Dec]])</f>
        <v>3.0316666666666663</v>
      </c>
      <c r="Z119" t="str">
        <f>IF(Table2[[#This Row],[Average]]&lt;3,"Low",IF(Table2[[#This Row],[Average]]&lt;=4,"Med",IF(Table2[[#This Row],[Average]]&gt;4,"High")))</f>
        <v>Med</v>
      </c>
    </row>
    <row r="120" spans="1:26" x14ac:dyDescent="0.25">
      <c r="A120">
        <v>432851</v>
      </c>
      <c r="B120" t="s">
        <v>160</v>
      </c>
      <c r="C120" t="s">
        <v>48</v>
      </c>
      <c r="D120" t="s">
        <v>115</v>
      </c>
      <c r="E120" t="s">
        <v>164</v>
      </c>
      <c r="F120" t="s">
        <v>25</v>
      </c>
      <c r="G120" t="s">
        <v>26</v>
      </c>
      <c r="H120" s="1">
        <v>28955</v>
      </c>
      <c r="I120" s="1">
        <v>37043</v>
      </c>
      <c r="J120" s="2">
        <f ca="1">DATEDIF(Table2[[#This Row],[Tanggal Lahir]],NOW(),"Y")</f>
        <v>47</v>
      </c>
      <c r="K120" s="1" t="str">
        <f ca="1">IF(Table2[[#This Row],[Usia]]&lt;25,"Gen Z",IF(Table2[[#This Row],[Usia]]&lt;40,"Gen Y",IF(Table2[[#This Row],[Usia]]&lt;56,"Gen X",IF(Table2[[#This Row],[Usia]]&gt;=56,"Baby Boomer"))))</f>
        <v>Gen X</v>
      </c>
      <c r="L120" t="s">
        <v>33</v>
      </c>
      <c r="M120">
        <v>3.78</v>
      </c>
      <c r="N120">
        <v>1.65</v>
      </c>
      <c r="O120">
        <v>3.52</v>
      </c>
      <c r="P120">
        <v>3.46</v>
      </c>
      <c r="Q120">
        <v>3.81</v>
      </c>
      <c r="R120">
        <v>1.06</v>
      </c>
      <c r="S120">
        <v>4.1900000000000004</v>
      </c>
      <c r="T120">
        <v>1.47</v>
      </c>
      <c r="U120">
        <v>2.64</v>
      </c>
      <c r="V120">
        <v>1.07</v>
      </c>
      <c r="W120">
        <v>3.26</v>
      </c>
      <c r="X120">
        <v>3.83</v>
      </c>
      <c r="Y120" s="3">
        <f>AVERAGE(Table2[[#This Row],[Jan]:[Dec]])</f>
        <v>2.8116666666666661</v>
      </c>
      <c r="Z120" t="str">
        <f>IF(Table2[[#This Row],[Average]]&lt;3,"Low",IF(Table2[[#This Row],[Average]]&lt;=4,"Med",IF(Table2[[#This Row],[Average]]&gt;4,"High")))</f>
        <v>Low</v>
      </c>
    </row>
    <row r="121" spans="1:26" x14ac:dyDescent="0.25">
      <c r="A121">
        <v>438182</v>
      </c>
      <c r="B121" t="s">
        <v>161</v>
      </c>
      <c r="C121" t="s">
        <v>23</v>
      </c>
      <c r="D121" t="s">
        <v>24</v>
      </c>
      <c r="E121" t="s">
        <v>164</v>
      </c>
      <c r="F121" t="s">
        <v>25</v>
      </c>
      <c r="G121" t="s">
        <v>26</v>
      </c>
      <c r="H121" s="1">
        <v>32141</v>
      </c>
      <c r="I121" s="1">
        <v>40280</v>
      </c>
      <c r="J121" s="2">
        <f ca="1">DATEDIF(Table2[[#This Row],[Tanggal Lahir]],NOW(),"Y")</f>
        <v>38</v>
      </c>
      <c r="K121" s="1" t="str">
        <f ca="1">IF(Table2[[#This Row],[Usia]]&lt;25,"Gen Z",IF(Table2[[#This Row],[Usia]]&lt;40,"Gen Y",IF(Table2[[#This Row],[Usia]]&lt;56,"Gen X",IF(Table2[[#This Row],[Usia]]&gt;=56,"Baby Boomer"))))</f>
        <v>Gen Y</v>
      </c>
      <c r="L121" t="s">
        <v>33</v>
      </c>
      <c r="M121">
        <v>2.58</v>
      </c>
      <c r="N121">
        <v>2.63</v>
      </c>
      <c r="O121">
        <v>3.62</v>
      </c>
      <c r="P121">
        <v>2.0499999999999998</v>
      </c>
      <c r="Q121">
        <v>3.04</v>
      </c>
      <c r="R121">
        <v>2.5099999999999998</v>
      </c>
      <c r="S121">
        <v>1.73</v>
      </c>
      <c r="T121">
        <v>2.2599999999999998</v>
      </c>
      <c r="U121">
        <v>2.02</v>
      </c>
      <c r="V121">
        <v>1.19</v>
      </c>
      <c r="W121">
        <v>2.75</v>
      </c>
      <c r="X121">
        <v>3.77</v>
      </c>
      <c r="Y121" s="3">
        <f>AVERAGE(Table2[[#This Row],[Jan]:[Dec]])</f>
        <v>2.5125000000000002</v>
      </c>
      <c r="Z121" t="str">
        <f>IF(Table2[[#This Row],[Average]]&lt;3,"Low",IF(Table2[[#This Row],[Average]]&lt;=4,"Med",IF(Table2[[#This Row],[Average]]&gt;4,"High")))</f>
        <v>Low</v>
      </c>
    </row>
    <row r="122" spans="1:26" x14ac:dyDescent="0.25">
      <c r="A122">
        <v>441258</v>
      </c>
      <c r="B122" t="s">
        <v>162</v>
      </c>
      <c r="C122" t="s">
        <v>23</v>
      </c>
      <c r="D122" t="s">
        <v>24</v>
      </c>
      <c r="E122" t="s">
        <v>164</v>
      </c>
      <c r="F122" t="s">
        <v>25</v>
      </c>
      <c r="G122" t="s">
        <v>29</v>
      </c>
      <c r="H122" s="1">
        <v>30323</v>
      </c>
      <c r="I122" s="1">
        <v>40896</v>
      </c>
      <c r="J122" s="2">
        <f ca="1">DATEDIF(Table2[[#This Row],[Tanggal Lahir]],NOW(),"Y")</f>
        <v>43</v>
      </c>
      <c r="K122" s="1" t="str">
        <f ca="1">IF(Table2[[#This Row],[Usia]]&lt;25,"Gen Z",IF(Table2[[#This Row],[Usia]]&lt;40,"Gen Y",IF(Table2[[#This Row],[Usia]]&lt;56,"Gen X",IF(Table2[[#This Row],[Usia]]&gt;=56,"Baby Boomer"))))</f>
        <v>Gen X</v>
      </c>
      <c r="L122" t="s">
        <v>33</v>
      </c>
      <c r="M122">
        <v>2.35</v>
      </c>
      <c r="N122">
        <v>4.01</v>
      </c>
      <c r="O122">
        <v>1.27</v>
      </c>
      <c r="P122">
        <v>2.59</v>
      </c>
      <c r="Q122">
        <v>2.85</v>
      </c>
      <c r="R122">
        <v>2.7</v>
      </c>
      <c r="S122">
        <v>3.73</v>
      </c>
      <c r="T122">
        <v>2.19</v>
      </c>
      <c r="U122">
        <v>4.01</v>
      </c>
      <c r="V122">
        <v>2.2000000000000002</v>
      </c>
      <c r="W122">
        <v>3.5</v>
      </c>
      <c r="X122">
        <v>1.6</v>
      </c>
      <c r="Y122" s="3">
        <f>AVERAGE(Table2[[#This Row],[Jan]:[Dec]])</f>
        <v>2.75</v>
      </c>
      <c r="Z122" t="str">
        <f>IF(Table2[[#This Row],[Average]]&lt;3,"Low",IF(Table2[[#This Row],[Average]]&lt;=4,"Med",IF(Table2[[#This Row],[Average]]&gt;4,"High")))</f>
        <v>Low</v>
      </c>
    </row>
    <row r="123" spans="1:26" x14ac:dyDescent="0.25">
      <c r="A123">
        <v>443057</v>
      </c>
      <c r="B123" t="s">
        <v>163</v>
      </c>
      <c r="C123" t="s">
        <v>23</v>
      </c>
      <c r="D123" t="s">
        <v>24</v>
      </c>
      <c r="E123" t="s">
        <v>164</v>
      </c>
      <c r="F123" t="s">
        <v>25</v>
      </c>
      <c r="G123" t="s">
        <v>29</v>
      </c>
      <c r="H123" s="1">
        <v>33176</v>
      </c>
      <c r="I123" s="1">
        <v>42963</v>
      </c>
      <c r="J123" s="2">
        <f ca="1">DATEDIF(Table2[[#This Row],[Tanggal Lahir]],NOW(),"Y")</f>
        <v>35</v>
      </c>
      <c r="K123" s="1" t="str">
        <f ca="1">IF(Table2[[#This Row],[Usia]]&lt;25,"Gen Z",IF(Table2[[#This Row],[Usia]]&lt;40,"Gen Y",IF(Table2[[#This Row],[Usia]]&lt;56,"Gen X",IF(Table2[[#This Row],[Usia]]&gt;=56,"Baby Boomer"))))</f>
        <v>Gen Y</v>
      </c>
      <c r="L123" t="s">
        <v>30</v>
      </c>
      <c r="M123">
        <v>3.5</v>
      </c>
      <c r="N123">
        <v>3.94</v>
      </c>
      <c r="O123">
        <v>4.5599999999999996</v>
      </c>
      <c r="P123">
        <v>2.23</v>
      </c>
      <c r="Q123">
        <v>3.25</v>
      </c>
      <c r="R123">
        <v>3.5</v>
      </c>
      <c r="S123">
        <v>3.55</v>
      </c>
      <c r="T123">
        <v>2.89</v>
      </c>
      <c r="U123">
        <v>3.51</v>
      </c>
      <c r="V123">
        <v>2.75</v>
      </c>
      <c r="W123">
        <v>4.2699999999999996</v>
      </c>
      <c r="X123">
        <v>3.19</v>
      </c>
      <c r="Y123" s="3">
        <f>AVERAGE(Table2[[#This Row],[Jan]:[Dec]])</f>
        <v>3.4283333333333332</v>
      </c>
      <c r="Z123" t="str">
        <f>IF(Table2[[#This Row],[Average]]&lt;3,"Low",IF(Table2[[#This Row],[Average]]&lt;=4,"Med",IF(Table2[[#This Row],[Average]]&gt;4,"High")))</f>
        <v>Med</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Chaerul Rasyid</dc:creator>
  <cp:lastModifiedBy>Sandi</cp:lastModifiedBy>
  <dcterms:created xsi:type="dcterms:W3CDTF">2024-11-26T04:53:17Z</dcterms:created>
  <dcterms:modified xsi:type="dcterms:W3CDTF">2026-08-11T13:32:20Z</dcterms:modified>
</cp:coreProperties>
</file>